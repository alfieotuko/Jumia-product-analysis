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Omolo\Documents\"/>
    </mc:Choice>
  </mc:AlternateContent>
  <xr:revisionPtr revIDLastSave="0" documentId="13_ncr:1_{43FAB77A-2118-4461-A58B-59D48B223B30}" xr6:coauthVersionLast="47" xr6:coauthVersionMax="47" xr10:uidLastSave="{00000000-0000-0000-0000-000000000000}"/>
  <bookViews>
    <workbookView xWindow="-120" yWindow="-120" windowWidth="20730" windowHeight="11040" firstSheet="3" activeTab="6" xr2:uid="{00000000-000D-0000-FFFF-FFFF00000000}"/>
  </bookViews>
  <sheets>
    <sheet name="Orginal_data" sheetId="1" r:id="rId1"/>
    <sheet name="Cleaned_data " sheetId="2" r:id="rId2"/>
    <sheet name="Analysis" sheetId="3" r:id="rId3"/>
    <sheet name="Trend Analysis" sheetId="4" r:id="rId4"/>
    <sheet name="Product Perfomance Analysis " sheetId="5" r:id="rId5"/>
    <sheet name="Relationship Trend Analysis " sheetId="9" r:id="rId6"/>
    <sheet name="Sheet4" sheetId="10" r:id="rId7"/>
    <sheet name="Dashboard " sheetId="16" r:id="rId8"/>
  </sheets>
  <definedNames>
    <definedName name="_xlnm._FilterDatabase" localSheetId="1" hidden="1">'Cleaned_data '!$A$1:$J$113</definedName>
    <definedName name="_xlnm._FilterDatabase" localSheetId="4" hidden="1">'Product Perfomance Analysis '!$A$16:$H$16</definedName>
    <definedName name="Slicer_Discount_Category">#N/A</definedName>
    <definedName name="Slicer_Price_Category">#N/A</definedName>
    <definedName name="Slicer_Ratings_Category">#N/A</definedName>
  </definedNames>
  <calcPr calcId="191029"/>
  <pivotCaches>
    <pivotCache cacheId="3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 l="1"/>
  <c r="B2" i="4"/>
  <c r="B1" i="4"/>
  <c r="D10" i="2"/>
  <c r="D17" i="2"/>
  <c r="D6" i="2"/>
  <c r="D11" i="2"/>
  <c r="D5" i="2"/>
  <c r="D15" i="2"/>
  <c r="D14" i="2"/>
  <c r="D9" i="2"/>
  <c r="D4" i="2"/>
  <c r="D13" i="2"/>
  <c r="D8" i="2"/>
  <c r="D16" i="2"/>
  <c r="D18" i="2"/>
  <c r="D12" i="2"/>
  <c r="D2" i="2"/>
  <c r="D7" i="2"/>
  <c r="D87" i="2"/>
  <c r="D85" i="2"/>
  <c r="D88" i="2"/>
  <c r="D113" i="2"/>
  <c r="D94" i="2"/>
  <c r="D76" i="2"/>
  <c r="D108" i="2"/>
  <c r="D81" i="2"/>
  <c r="D89" i="2"/>
  <c r="D106" i="2"/>
  <c r="D79" i="2"/>
  <c r="D109" i="2"/>
  <c r="D110" i="2"/>
  <c r="D111" i="2"/>
  <c r="D82" i="2"/>
  <c r="D84" i="2"/>
  <c r="D78" i="2"/>
  <c r="D86" i="2"/>
  <c r="D93" i="2"/>
  <c r="D105" i="2"/>
  <c r="D103" i="2"/>
  <c r="D104" i="2"/>
  <c r="D112" i="2"/>
  <c r="D98" i="2"/>
  <c r="D107" i="2"/>
  <c r="D96" i="2"/>
  <c r="D80" i="2"/>
  <c r="D92" i="2"/>
  <c r="D83" i="2"/>
  <c r="D102" i="2"/>
  <c r="D97" i="2"/>
  <c r="D90" i="2"/>
  <c r="D101" i="2"/>
  <c r="D99" i="2"/>
  <c r="D77" i="2"/>
  <c r="D100" i="2"/>
  <c r="D95" i="2"/>
  <c r="D91" i="2"/>
  <c r="D44" i="2"/>
  <c r="D31" i="2"/>
  <c r="D38" i="2"/>
  <c r="D65" i="2"/>
  <c r="D26" i="2"/>
  <c r="D39" i="2"/>
  <c r="D32" i="2"/>
  <c r="D61" i="2"/>
  <c r="D36" i="2"/>
  <c r="D62" i="2"/>
  <c r="D27" i="2"/>
  <c r="D45" i="2"/>
  <c r="D28" i="2"/>
  <c r="D72" i="2"/>
  <c r="D49" i="2"/>
  <c r="D75" i="2"/>
  <c r="D63" i="2"/>
  <c r="D59" i="2"/>
  <c r="D68" i="2"/>
  <c r="D50" i="2"/>
  <c r="D51" i="2"/>
  <c r="D69" i="2"/>
  <c r="D71" i="2"/>
  <c r="D33" i="2"/>
  <c r="D23" i="2"/>
  <c r="D52" i="2"/>
  <c r="D24" i="2"/>
  <c r="D35" i="2"/>
  <c r="D66" i="2"/>
  <c r="D53" i="2"/>
  <c r="D19" i="2"/>
  <c r="D46" i="2"/>
  <c r="D54" i="2"/>
  <c r="D37" i="2"/>
  <c r="D42" i="2"/>
  <c r="D25" i="2"/>
  <c r="D67" i="2"/>
  <c r="D70" i="2"/>
  <c r="D30" i="2"/>
  <c r="D22" i="2"/>
  <c r="D43" i="2"/>
  <c r="D47" i="2"/>
  <c r="D74" i="2"/>
  <c r="D55" i="2"/>
  <c r="D56" i="2"/>
  <c r="D48" i="2"/>
  <c r="D57" i="2"/>
  <c r="D41" i="2"/>
  <c r="D40" i="2"/>
  <c r="D73" i="2"/>
  <c r="D34" i="2"/>
  <c r="D21" i="2"/>
  <c r="D58" i="2"/>
  <c r="D29" i="2"/>
  <c r="D64" i="2"/>
  <c r="D60" i="2"/>
  <c r="D20" i="2"/>
  <c r="D3" i="2"/>
  <c r="G23" i="2"/>
  <c r="G8" i="2"/>
  <c r="G86" i="2"/>
  <c r="G89" i="2"/>
  <c r="G6" i="2"/>
  <c r="G9" i="2"/>
  <c r="G26" i="2"/>
  <c r="G83" i="2"/>
  <c r="G78" i="2"/>
  <c r="G28" i="2"/>
  <c r="G38" i="2"/>
  <c r="G33" i="2"/>
  <c r="G35" i="2"/>
  <c r="G79" i="2"/>
  <c r="G30" i="2"/>
  <c r="G34" i="2"/>
  <c r="G7" i="2"/>
  <c r="G11" i="2"/>
  <c r="G31" i="2"/>
  <c r="G20" i="2"/>
  <c r="G94" i="2"/>
  <c r="G27" i="2"/>
  <c r="G82" i="2"/>
  <c r="G2" i="2"/>
  <c r="G37" i="2"/>
  <c r="G5" i="2"/>
  <c r="G80" i="2"/>
  <c r="G81" i="2"/>
  <c r="G13" i="2"/>
  <c r="G21" i="2"/>
  <c r="G39" i="2"/>
  <c r="G76" i="2"/>
  <c r="G88" i="2"/>
  <c r="G87" i="2"/>
  <c r="G84" i="2"/>
  <c r="G29" i="2"/>
  <c r="G25" i="2"/>
  <c r="G85" i="2"/>
  <c r="G14" i="2"/>
  <c r="G53" i="2"/>
  <c r="G48" i="2"/>
  <c r="G71" i="2"/>
  <c r="G18" i="2"/>
  <c r="G44" i="2"/>
  <c r="G101" i="2"/>
  <c r="G50" i="2"/>
  <c r="G97" i="2"/>
  <c r="G41" i="2"/>
  <c r="G47" i="2"/>
  <c r="G110" i="2"/>
  <c r="G74" i="2"/>
  <c r="G107" i="2"/>
  <c r="G72" i="2"/>
  <c r="G66" i="2"/>
  <c r="G59" i="2"/>
  <c r="G49" i="2"/>
  <c r="G15" i="2"/>
  <c r="G42" i="2"/>
  <c r="G16" i="2"/>
  <c r="G19" i="2"/>
  <c r="G12" i="2"/>
  <c r="G54" i="2"/>
  <c r="G43" i="2"/>
  <c r="G102" i="2"/>
  <c r="G65" i="2"/>
  <c r="G91" i="2"/>
  <c r="G3" i="2"/>
  <c r="G67" i="2"/>
  <c r="G4" i="2"/>
  <c r="G70" i="2"/>
  <c r="G24" i="2"/>
  <c r="G61" i="2"/>
  <c r="G93" i="2"/>
  <c r="G63" i="2"/>
  <c r="G68" i="2"/>
  <c r="G106" i="2"/>
  <c r="G57" i="2"/>
  <c r="G77" i="2"/>
  <c r="G32" i="2"/>
  <c r="G98" i="2"/>
  <c r="G109" i="2"/>
  <c r="G22" i="2"/>
  <c r="G58" i="2"/>
  <c r="G104" i="2"/>
  <c r="G55" i="2"/>
  <c r="G75" i="2"/>
  <c r="G51" i="2"/>
  <c r="G103" i="2"/>
  <c r="G69" i="2"/>
  <c r="G45" i="2"/>
  <c r="G92" i="2"/>
  <c r="G60" i="2"/>
  <c r="G62" i="2"/>
  <c r="G90" i="2"/>
  <c r="G105" i="2"/>
  <c r="G112" i="2"/>
  <c r="G56" i="2"/>
  <c r="G17" i="2"/>
  <c r="G52" i="2"/>
  <c r="G95" i="2"/>
  <c r="G10" i="2"/>
  <c r="G96" i="2"/>
  <c r="G113" i="2"/>
  <c r="G73" i="2"/>
  <c r="G100" i="2"/>
  <c r="G99" i="2"/>
  <c r="G111" i="2"/>
  <c r="G108" i="2"/>
  <c r="G40" i="2"/>
  <c r="G46" i="2"/>
  <c r="G64" i="2"/>
  <c r="G36" i="2"/>
  <c r="J23" i="2"/>
  <c r="J8" i="2"/>
  <c r="J86" i="2"/>
  <c r="J89" i="2"/>
  <c r="J6" i="2"/>
  <c r="J9" i="2"/>
  <c r="J26" i="2"/>
  <c r="J83" i="2"/>
  <c r="J78" i="2"/>
  <c r="J28" i="2"/>
  <c r="J38" i="2"/>
  <c r="J33" i="2"/>
  <c r="J35" i="2"/>
  <c r="J79" i="2"/>
  <c r="J30" i="2"/>
  <c r="J34" i="2"/>
  <c r="J7" i="2"/>
  <c r="J11" i="2"/>
  <c r="J31" i="2"/>
  <c r="J20" i="2"/>
  <c r="J94" i="2"/>
  <c r="J27" i="2"/>
  <c r="J82" i="2"/>
  <c r="J2" i="2"/>
  <c r="J37" i="2"/>
  <c r="J5" i="2"/>
  <c r="J80" i="2"/>
  <c r="J81" i="2"/>
  <c r="J13" i="2"/>
  <c r="J21" i="2"/>
  <c r="J39" i="2"/>
  <c r="J76" i="2"/>
  <c r="J88" i="2"/>
  <c r="J87" i="2"/>
  <c r="J84" i="2"/>
  <c r="J29" i="2"/>
  <c r="J25" i="2"/>
  <c r="J85" i="2"/>
  <c r="J14" i="2"/>
  <c r="J53" i="2"/>
  <c r="J48" i="2"/>
  <c r="J71" i="2"/>
  <c r="J18" i="2"/>
  <c r="J44" i="2"/>
  <c r="J101" i="2"/>
  <c r="J50" i="2"/>
  <c r="J97" i="2"/>
  <c r="J41" i="2"/>
  <c r="J47" i="2"/>
  <c r="J110" i="2"/>
  <c r="J74" i="2"/>
  <c r="J107" i="2"/>
  <c r="J72" i="2"/>
  <c r="J66" i="2"/>
  <c r="J59" i="2"/>
  <c r="J49" i="2"/>
  <c r="J15" i="2"/>
  <c r="J42" i="2"/>
  <c r="J16" i="2"/>
  <c r="J19" i="2"/>
  <c r="J12" i="2"/>
  <c r="J54" i="2"/>
  <c r="J43" i="2"/>
  <c r="J102" i="2"/>
  <c r="J65" i="2"/>
  <c r="J91" i="2"/>
  <c r="J3" i="2"/>
  <c r="J67" i="2"/>
  <c r="J4" i="2"/>
  <c r="J70" i="2"/>
  <c r="J24" i="2"/>
  <c r="J61" i="2"/>
  <c r="J93" i="2"/>
  <c r="J63" i="2"/>
  <c r="J68" i="2"/>
  <c r="J106" i="2"/>
  <c r="J57" i="2"/>
  <c r="J77" i="2"/>
  <c r="J32" i="2"/>
  <c r="J98" i="2"/>
  <c r="J109" i="2"/>
  <c r="J22" i="2"/>
  <c r="J58" i="2"/>
  <c r="J104" i="2"/>
  <c r="J55" i="2"/>
  <c r="J75" i="2"/>
  <c r="J51" i="2"/>
  <c r="J103" i="2"/>
  <c r="J69" i="2"/>
  <c r="J45" i="2"/>
  <c r="J92" i="2"/>
  <c r="J60" i="2"/>
  <c r="J62" i="2"/>
  <c r="J90" i="2"/>
  <c r="J105" i="2"/>
  <c r="J112" i="2"/>
  <c r="J56" i="2"/>
  <c r="J17" i="2"/>
  <c r="J52" i="2"/>
  <c r="J95" i="2"/>
  <c r="J10" i="2"/>
  <c r="J96" i="2"/>
  <c r="J113" i="2"/>
  <c r="J73" i="2"/>
  <c r="J100" i="2"/>
  <c r="J99" i="2"/>
  <c r="J111" i="2"/>
  <c r="J108" i="2"/>
  <c r="J40" i="2"/>
  <c r="J46" i="2"/>
  <c r="J64" i="2"/>
  <c r="J36" i="2"/>
  <c r="E23" i="2"/>
  <c r="E8" i="2"/>
  <c r="E86" i="2"/>
  <c r="E89" i="2"/>
  <c r="E6" i="2"/>
  <c r="E9" i="2"/>
  <c r="E26" i="2"/>
  <c r="E83" i="2"/>
  <c r="E78" i="2"/>
  <c r="E28" i="2"/>
  <c r="E38" i="2"/>
  <c r="E33" i="2"/>
  <c r="E35" i="2"/>
  <c r="E79" i="2"/>
  <c r="E30" i="2"/>
  <c r="E34" i="2"/>
  <c r="E7" i="2"/>
  <c r="E11" i="2"/>
  <c r="E31" i="2"/>
  <c r="E20" i="2"/>
  <c r="E94" i="2"/>
  <c r="E27" i="2"/>
  <c r="E82" i="2"/>
  <c r="E2" i="2"/>
  <c r="E37" i="2"/>
  <c r="E5" i="2"/>
  <c r="E80" i="2"/>
  <c r="E81" i="2"/>
  <c r="E13" i="2"/>
  <c r="E21" i="2"/>
  <c r="E39" i="2"/>
  <c r="E76" i="2"/>
  <c r="E88" i="2"/>
  <c r="E87" i="2"/>
  <c r="E84" i="2"/>
  <c r="E29" i="2"/>
  <c r="E25" i="2"/>
  <c r="E85" i="2"/>
  <c r="E14" i="2"/>
  <c r="E53" i="2"/>
  <c r="E48" i="2"/>
  <c r="E71" i="2"/>
  <c r="E18" i="2"/>
  <c r="E44" i="2"/>
  <c r="E101" i="2"/>
  <c r="E50" i="2"/>
  <c r="E97" i="2"/>
  <c r="E41" i="2"/>
  <c r="E47" i="2"/>
  <c r="E110" i="2"/>
  <c r="E74" i="2"/>
  <c r="E107" i="2"/>
  <c r="E72" i="2"/>
  <c r="E66" i="2"/>
  <c r="E59" i="2"/>
  <c r="E49" i="2"/>
  <c r="E15" i="2"/>
  <c r="E42" i="2"/>
  <c r="E16" i="2"/>
  <c r="E19" i="2"/>
  <c r="E12" i="2"/>
  <c r="E54" i="2"/>
  <c r="E43" i="2"/>
  <c r="E102" i="2"/>
  <c r="E65" i="2"/>
  <c r="E91" i="2"/>
  <c r="E3" i="2"/>
  <c r="E67" i="2"/>
  <c r="E4" i="2"/>
  <c r="E70" i="2"/>
  <c r="E24" i="2"/>
  <c r="E61" i="2"/>
  <c r="E93" i="2"/>
  <c r="E63" i="2"/>
  <c r="E68" i="2"/>
  <c r="E106" i="2"/>
  <c r="E57" i="2"/>
  <c r="E77" i="2"/>
  <c r="E32" i="2"/>
  <c r="E98" i="2"/>
  <c r="E109" i="2"/>
  <c r="E22" i="2"/>
  <c r="E58" i="2"/>
  <c r="E104" i="2"/>
  <c r="E55" i="2"/>
  <c r="E75" i="2"/>
  <c r="E51" i="2"/>
  <c r="E103" i="2"/>
  <c r="E69" i="2"/>
  <c r="E45" i="2"/>
  <c r="E92" i="2"/>
  <c r="E60" i="2"/>
  <c r="E62" i="2"/>
  <c r="E90" i="2"/>
  <c r="E105" i="2"/>
  <c r="E112" i="2"/>
  <c r="E56" i="2"/>
  <c r="E17" i="2"/>
  <c r="E52" i="2"/>
  <c r="E95" i="2"/>
  <c r="E10" i="2"/>
  <c r="E96" i="2"/>
  <c r="E113" i="2"/>
  <c r="E73" i="2"/>
  <c r="E100" i="2"/>
  <c r="E99" i="2"/>
  <c r="E111" i="2"/>
  <c r="E108" i="2"/>
  <c r="E40" i="2"/>
  <c r="E46" i="2"/>
  <c r="E64" i="2"/>
  <c r="E36" i="2"/>
</calcChain>
</file>

<file path=xl/sharedStrings.xml><?xml version="1.0" encoding="utf-8"?>
<sst xmlns="http://schemas.openxmlformats.org/spreadsheetml/2006/main" count="803" uniqueCount="364">
  <si>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</si>
  <si>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</si>
  <si>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</si>
  <si>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</si>
  <si>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</si>
  <si>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</si>
  <si>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</si>
  <si>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</si>
  <si>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</si>
  <si>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</si>
  <si>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</si>
  <si>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</si>
  <si>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</si>
  <si>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</si>
  <si>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</si>
  <si>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</si>
  <si>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</si>
  <si>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</si>
  <si>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</si>
  <si>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</si>
  <si>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</si>
  <si>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</si>
  <si>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</si>
  <si>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</si>
  <si>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</si>
  <si>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</si>
  <si>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</si>
  <si>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</si>
  <si>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</si>
  <si>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</si>
  <si>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</si>
  <si>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</si>
  <si>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</si>
  <si>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</si>
  <si>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</si>
  <si>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</si>
  <si>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</si>
  <si>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</si>
  <si>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</si>
  <si>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</si>
  <si>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</si>
  <si>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</si>
  <si>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</si>
  <si>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</si>
  <si>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</si>
  <si>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</si>
  <si>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</si>
  <si>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</si>
  <si>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</si>
  <si>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</si>
  <si>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</si>
  <si>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</si>
  <si>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</si>
  <si>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</si>
  <si>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</si>
  <si>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</si>
  <si>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</si>
  <si>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</si>
  <si>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</si>
  <si>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</si>
  <si>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</si>
  <si>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</si>
  <si>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</si>
  <si>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</si>
  <si>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</si>
  <si>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</si>
  <si>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</si>
  <si>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</si>
  <si>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</si>
  <si>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</si>
  <si>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</si>
  <si>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</si>
  <si>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</si>
  <si>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</si>
  <si>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</si>
  <si>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</si>
  <si>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</si>
  <si>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</si>
  <si>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</si>
  <si>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</si>
  <si>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</si>
  <si>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</si>
  <si>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</si>
  <si>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</si>
  <si>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</si>
  <si>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</si>
  <si>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</si>
  <si>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</si>
  <si>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</si>
  <si>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</si>
  <si>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</si>
  <si>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</si>
  <si>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</si>
  <si>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</si>
  <si>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</si>
  <si>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</si>
  <si>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</si>
  <si>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</si>
  <si>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</si>
  <si>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</si>
  <si>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</si>
  <si>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</si>
  <si>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</si>
  <si>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</si>
  <si>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</si>
  <si>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</si>
  <si>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</si>
  <si>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</si>
  <si>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</si>
  <si>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</si>
  <si>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</si>
  <si>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</si>
  <si>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</si>
  <si>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</si>
  <si>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</si>
  <si>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</si>
  <si>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</si>
  <si>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</si>
  <si>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</si>
  <si>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</si>
  <si>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</si>
  <si>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</si>
  <si>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</si>
  <si>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</si>
  <si>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</si>
  <si>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</si>
  <si>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</si>
  <si>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</si>
  <si>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</si>
  <si>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</si>
  <si>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</si>
  <si>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</si>
  <si>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</si>
  <si>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</si>
  <si>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</si>
  <si>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</si>
  <si>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</si>
  <si>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</si>
  <si>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</si>
  <si>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</si>
  <si>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</si>
  <si>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</si>
  <si>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</si>
  <si>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</si>
  <si>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</si>
  <si>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</si>
  <si>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</si>
  <si>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</si>
  <si>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</si>
  <si>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</si>
  <si>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</si>
  <si>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</si>
  <si>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</si>
  <si>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</si>
  <si>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</si>
  <si>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</si>
  <si>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</si>
  <si>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</si>
  <si>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</si>
  <si>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</si>
  <si>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</si>
  <si>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</si>
  <si>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</si>
  <si>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</si>
  <si>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</si>
  <si>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</si>
  <si>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</si>
  <si>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</si>
  <si>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</si>
  <si>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</si>
  <si>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</si>
  <si>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</si>
  <si>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</si>
  <si>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</si>
  <si>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</si>
  <si>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</si>
  <si>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</si>
  <si>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</si>
  <si>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</si>
  <si>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</si>
  <si>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</si>
  <si>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</si>
  <si>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</si>
  <si>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</si>
  <si>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</si>
  <si>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</si>
  <si>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</si>
  <si>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</si>
  <si>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</si>
  <si>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</si>
  <si>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</si>
  <si>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</si>
  <si>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</si>
  <si>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</si>
  <si>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</si>
  <si>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</si>
  <si>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</si>
  <si>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</si>
  <si>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</si>
  <si>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</si>
  <si>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</si>
  <si>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</si>
  <si>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</si>
  <si>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</si>
  <si>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</si>
  <si>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</si>
  <si>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</si>
  <si>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</si>
  <si>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</si>
  <si>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</si>
  <si>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</si>
  <si>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</si>
  <si>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</si>
  <si>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</si>
  <si>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</si>
  <si>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</si>
  <si>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</si>
  <si>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</si>
  <si>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</si>
  <si>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</si>
  <si>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</si>
  <si>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</si>
  <si>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</si>
  <si>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</si>
  <si>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</si>
  <si>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</si>
  <si>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</si>
  <si>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</si>
  <si>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</si>
  <si>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</si>
  <si>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</si>
  <si>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</si>
  <si>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</si>
  <si>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</si>
  <si>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</si>
  <si>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</si>
  <si>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</si>
  <si>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</si>
  <si>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</si>
  <si>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</si>
  <si>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</si>
  <si>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</si>
  <si>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</si>
  <si>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</si>
  <si>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</si>
  <si>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</si>
  <si>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</si>
  <si>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</si>
  <si>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</si>
  <si>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</si>
  <si>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</si>
  <si>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</si>
  <si>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</si>
  <si>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</si>
  <si>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</si>
  <si>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</si>
  <si>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</si>
  <si>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</si>
  <si>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</si>
  <si>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</si>
  <si>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</si>
  <si>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</si>
  <si>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</si>
  <si>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</si>
  <si>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</si>
  <si>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</si>
  <si>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</si>
  <si>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</si>
  <si>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</si>
  <si>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</si>
  <si>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</si>
  <si>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</si>
  <si>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</si>
  <si>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</si>
  <si>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</si>
  <si>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</si>
  <si>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</si>
  <si>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</si>
  <si>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</si>
  <si>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</si>
  <si>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</si>
  <si>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</si>
  <si>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</si>
  <si>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</si>
  <si>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</si>
  <si>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</si>
  <si>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</si>
  <si>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</si>
  <si>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</si>
  <si>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</si>
  <si>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</si>
  <si>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</si>
  <si>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</si>
  <si>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</si>
  <si>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</si>
  <si>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</si>
  <si>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</si>
  <si>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</si>
  <si>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</si>
  <si>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</si>
  <si>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</si>
  <si>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</si>
  <si>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</si>
  <si>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</si>
  <si>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</si>
  <si>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</si>
  <si>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</si>
  <si>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</si>
  <si>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</si>
  <si>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</si>
  <si>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</si>
  <si>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</si>
  <si>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</si>
  <si>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</si>
  <si>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</si>
  <si>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</si>
  <si>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</si>
  <si>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</si>
  <si>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</si>
  <si>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</si>
  <si>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</si>
  <si>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</si>
  <si>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</si>
  <si>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Ratings</t>
  </si>
  <si>
    <t>MultiFunctional Storage Rack Multi-layer Booelf</t>
  </si>
  <si>
    <t>1/2/3 Seater Elastic Sofa Cover,Living Room Home Decor Chair Cover-Grey</t>
  </si>
  <si>
    <t>Old price</t>
  </si>
  <si>
    <t>Discounted Amount</t>
  </si>
  <si>
    <t>Discount Category</t>
  </si>
  <si>
    <t>Price Category</t>
  </si>
  <si>
    <t>Average current price of products</t>
  </si>
  <si>
    <t>Average old price of products.</t>
  </si>
  <si>
    <t>Average discount percentage</t>
  </si>
  <si>
    <t>Average product rating</t>
  </si>
  <si>
    <t>Total number of products</t>
  </si>
  <si>
    <t>Total number of reviews</t>
  </si>
  <si>
    <t>least expensive product</t>
  </si>
  <si>
    <t>Most expensive product</t>
  </si>
  <si>
    <t>Does a higher discount percentage result in more customer reviews?</t>
  </si>
  <si>
    <t>Theres no relation between the 2</t>
  </si>
  <si>
    <t>Do highly rated products receive more customer reviews?</t>
  </si>
  <si>
    <t xml:space="preserve">theres a slight connection </t>
  </si>
  <si>
    <t>Are expensive products rated higher than cheaper products?</t>
  </si>
  <si>
    <t xml:space="preserve">Theres little connection </t>
  </si>
  <si>
    <t>Ratings Category</t>
  </si>
  <si>
    <t>High Price</t>
  </si>
  <si>
    <t>Medium Discount</t>
  </si>
  <si>
    <t>Excellent</t>
  </si>
  <si>
    <t>High Discount</t>
  </si>
  <si>
    <t>Medium Price</t>
  </si>
  <si>
    <t>Low Price</t>
  </si>
  <si>
    <t xml:space="preserve">Top 5 products with high rating </t>
  </si>
  <si>
    <t>Poor</t>
  </si>
  <si>
    <t xml:space="preserve">Top5 products that have the lowest ratings </t>
  </si>
  <si>
    <t>Average</t>
  </si>
  <si>
    <t>Top 10 products with the highest reviews</t>
  </si>
  <si>
    <t xml:space="preserve">Top 10 products with the highest discounts </t>
  </si>
  <si>
    <t xml:space="preserve">Top 10 highest rated products </t>
  </si>
  <si>
    <t>Sum of Ratings</t>
  </si>
  <si>
    <t>Row Labels</t>
  </si>
  <si>
    <t>Grand Total</t>
  </si>
  <si>
    <t>Count of Product</t>
  </si>
  <si>
    <t>Low Discount</t>
  </si>
  <si>
    <t>Sum of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</si>
</sst>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ES]\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16" fillId="33" borderId="0" xfId="0" applyFont="1" applyFill="1"/>
    <xf numFmtId="164" fontId="16" fillId="33" borderId="0" xfId="0" applyNumberFormat="1" applyFont="1" applyFill="1"/>
    <xf numFmtId="164" fontId="0" fillId="0" borderId="0" xfId="0" applyNumberFormat="1"/>
    <xf numFmtId="0" fontId="18" fillId="0" borderId="0" xfId="0" applyFont="1"/>
    <xf numFmtId="0" fontId="16" fillId="0" borderId="10" xfId="0" applyFont="1" applyBorder="1"/>
    <xf numFmtId="164" fontId="0" fillId="0" borderId="10" xfId="0" applyNumberFormat="1" applyBorder="1"/>
    <xf numFmtId="10" fontId="0" fillId="0" borderId="10" xfId="0" applyNumberFormat="1" applyBorder="1"/>
    <xf numFmtId="2" fontId="0" fillId="0" borderId="10" xfId="0" applyNumberFormat="1" applyBorder="1"/>
    <xf numFmtId="0" fontId="0" fillId="0" borderId="10" xfId="0" applyBorder="1"/>
    <xf numFmtId="0" fontId="0" fillId="0" borderId="0" xfId="0" applyNumberFormat="1"/>
    <xf numFmtId="0" fontId="0" fillId="0" borderId="0" xfId="0" applyAlignment="1">
      <alignment horizontal="left"/>
    </xf>
    <xf numFmtId="0" fontId="0" fillId="34" borderId="0" xfId="0" applyFill="1"/>
    <xf numFmtId="0" fontId="0" fillId="34" borderId="0" xfId="0" applyFill="1" applyAlignment="1">
      <alignment horizontal="left"/>
    </xf>
    <xf numFmtId="0" fontId="0" fillId="34" borderId="0" xfId="0" applyNumberFormat="1" applyFill="1"/>
    <xf numFmtId="0" fontId="0" fillId="35" borderId="0" xfId="0" applyFill="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and Reviews Trends</a:t>
            </a:r>
            <a:endParaRPr lang="en-US"/>
          </a:p>
        </c:rich>
      </c:tx>
      <c:layout>
        <c:manualLayout>
          <c:xMode val="edge"/>
          <c:yMode val="edge"/>
          <c:x val="0.44070122484689411"/>
          <c:y val="3.2407407407407406E-2"/>
        </c:manualLayout>
      </c:layout>
      <c:overlay val="0"/>
      <c:spPr>
        <a:noFill/>
        <a:ln>
          <a:noFill/>
        </a:ln>
        <a:effectLst/>
      </c:spPr>
    </c:title>
    <c:autoTitleDeleted val="0"/>
    <c:plotArea>
      <c:layout/>
      <c:scatterChart>
        <c:scatterStyle val="lineMarker"/>
        <c:varyColors val="0"/>
        <c:ser>
          <c:idx val="0"/>
          <c:order val="0"/>
          <c:tx>
            <c:strRef>
              <c:f>'Cleaned_data '!$H$1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'Cleaned_data '!$F$2:$F$116</c:f>
              <c:numCache>
                <c:formatCode>0%</c:formatCode>
                <c:ptCount val="115"/>
                <c:pt idx="0">
                  <c:v>0.54</c:v>
                </c:pt>
                <c:pt idx="1">
                  <c:v>0.39</c:v>
                </c:pt>
                <c:pt idx="2">
                  <c:v>0.28999999999999998</c:v>
                </c:pt>
                <c:pt idx="3">
                  <c:v>0.18</c:v>
                </c:pt>
                <c:pt idx="4">
                  <c:v>0.09</c:v>
                </c:pt>
                <c:pt idx="5">
                  <c:v>0.49</c:v>
                </c:pt>
                <c:pt idx="6">
                  <c:v>0.25</c:v>
                </c:pt>
                <c:pt idx="7">
                  <c:v>0.24</c:v>
                </c:pt>
                <c:pt idx="8">
                  <c:v>0.21</c:v>
                </c:pt>
                <c:pt idx="9">
                  <c:v>0.19</c:v>
                </c:pt>
                <c:pt idx="10">
                  <c:v>0.55000000000000004</c:v>
                </c:pt>
                <c:pt idx="11">
                  <c:v>0.46</c:v>
                </c:pt>
                <c:pt idx="12">
                  <c:v>0.38</c:v>
                </c:pt>
                <c:pt idx="13">
                  <c:v>0.27</c:v>
                </c:pt>
                <c:pt idx="14">
                  <c:v>0.13</c:v>
                </c:pt>
                <c:pt idx="15">
                  <c:v>0.04</c:v>
                </c:pt>
                <c:pt idx="16">
                  <c:v>0.02</c:v>
                </c:pt>
                <c:pt idx="17">
                  <c:v>0.54</c:v>
                </c:pt>
                <c:pt idx="18">
                  <c:v>0.53</c:v>
                </c:pt>
                <c:pt idx="19">
                  <c:v>0.52</c:v>
                </c:pt>
                <c:pt idx="20">
                  <c:v>0.49</c:v>
                </c:pt>
                <c:pt idx="21">
                  <c:v>0.47</c:v>
                </c:pt>
                <c:pt idx="22">
                  <c:v>0.43</c:v>
                </c:pt>
                <c:pt idx="23">
                  <c:v>0.41</c:v>
                </c:pt>
                <c:pt idx="24">
                  <c:v>0.37</c:v>
                </c:pt>
                <c:pt idx="25">
                  <c:v>0.35</c:v>
                </c:pt>
                <c:pt idx="26">
                  <c:v>0.2</c:v>
                </c:pt>
                <c:pt idx="27">
                  <c:v>0.53</c:v>
                </c:pt>
                <c:pt idx="28">
                  <c:v>0.51</c:v>
                </c:pt>
                <c:pt idx="29">
                  <c:v>0.49</c:v>
                </c:pt>
                <c:pt idx="30">
                  <c:v>0.49</c:v>
                </c:pt>
                <c:pt idx="31">
                  <c:v>0.47</c:v>
                </c:pt>
                <c:pt idx="32">
                  <c:v>0.46</c:v>
                </c:pt>
                <c:pt idx="33">
                  <c:v>0.42</c:v>
                </c:pt>
                <c:pt idx="34">
                  <c:v>0.38</c:v>
                </c:pt>
                <c:pt idx="35">
                  <c:v>0.35</c:v>
                </c:pt>
                <c:pt idx="36">
                  <c:v>0.34</c:v>
                </c:pt>
                <c:pt idx="37">
                  <c:v>0.34</c:v>
                </c:pt>
                <c:pt idx="38">
                  <c:v>0.64</c:v>
                </c:pt>
                <c:pt idx="39">
                  <c:v>0.61</c:v>
                </c:pt>
                <c:pt idx="40">
                  <c:v>0.55000000000000004</c:v>
                </c:pt>
                <c:pt idx="41">
                  <c:v>0.52</c:v>
                </c:pt>
                <c:pt idx="42">
                  <c:v>0.5</c:v>
                </c:pt>
                <c:pt idx="43">
                  <c:v>0.5</c:v>
                </c:pt>
                <c:pt idx="44">
                  <c:v>0.5</c:v>
                </c:pt>
                <c:pt idx="45">
                  <c:v>0.5</c:v>
                </c:pt>
                <c:pt idx="46">
                  <c:v>0.5</c:v>
                </c:pt>
                <c:pt idx="47">
                  <c:v>0.49</c:v>
                </c:pt>
                <c:pt idx="48">
                  <c:v>0.49</c:v>
                </c:pt>
                <c:pt idx="49">
                  <c:v>0.49</c:v>
                </c:pt>
                <c:pt idx="50">
                  <c:v>0.49</c:v>
                </c:pt>
                <c:pt idx="51">
                  <c:v>0.49</c:v>
                </c:pt>
                <c:pt idx="52">
                  <c:v>0.49</c:v>
                </c:pt>
                <c:pt idx="53">
                  <c:v>0.49</c:v>
                </c:pt>
                <c:pt idx="54">
                  <c:v>0.49</c:v>
                </c:pt>
                <c:pt idx="55">
                  <c:v>0.49</c:v>
                </c:pt>
                <c:pt idx="56">
                  <c:v>0.49</c:v>
                </c:pt>
                <c:pt idx="57">
                  <c:v>0.48</c:v>
                </c:pt>
                <c:pt idx="58">
                  <c:v>0.48</c:v>
                </c:pt>
                <c:pt idx="59">
                  <c:v>0.47</c:v>
                </c:pt>
                <c:pt idx="60">
                  <c:v>0.47</c:v>
                </c:pt>
                <c:pt idx="61">
                  <c:v>0.47</c:v>
                </c:pt>
                <c:pt idx="62">
                  <c:v>0.47</c:v>
                </c:pt>
                <c:pt idx="63">
                  <c:v>0.45</c:v>
                </c:pt>
                <c:pt idx="64">
                  <c:v>0.45</c:v>
                </c:pt>
                <c:pt idx="65">
                  <c:v>0.45</c:v>
                </c:pt>
                <c:pt idx="66">
                  <c:v>0.43</c:v>
                </c:pt>
                <c:pt idx="67">
                  <c:v>0.43</c:v>
                </c:pt>
                <c:pt idx="68">
                  <c:v>0.43</c:v>
                </c:pt>
                <c:pt idx="69">
                  <c:v>0.42</c:v>
                </c:pt>
                <c:pt idx="70">
                  <c:v>0.41</c:v>
                </c:pt>
                <c:pt idx="71">
                  <c:v>0.24</c:v>
                </c:pt>
                <c:pt idx="72">
                  <c:v>0.22</c:v>
                </c:pt>
                <c:pt idx="73">
                  <c:v>0.11</c:v>
                </c:pt>
                <c:pt idx="74">
                  <c:v>0.48</c:v>
                </c:pt>
                <c:pt idx="75">
                  <c:v>0.46</c:v>
                </c:pt>
                <c:pt idx="76">
                  <c:v>0.45</c:v>
                </c:pt>
                <c:pt idx="77">
                  <c:v>0.33</c:v>
                </c:pt>
                <c:pt idx="78">
                  <c:v>0.32</c:v>
                </c:pt>
                <c:pt idx="79">
                  <c:v>0.3</c:v>
                </c:pt>
                <c:pt idx="80">
                  <c:v>0.23</c:v>
                </c:pt>
                <c:pt idx="81">
                  <c:v>0.55000000000000004</c:v>
                </c:pt>
                <c:pt idx="82">
                  <c:v>0.4</c:v>
                </c:pt>
                <c:pt idx="83">
                  <c:v>0.38</c:v>
                </c:pt>
                <c:pt idx="84">
                  <c:v>0.37</c:v>
                </c:pt>
                <c:pt idx="85">
                  <c:v>0.27</c:v>
                </c:pt>
                <c:pt idx="86">
                  <c:v>0.27</c:v>
                </c:pt>
                <c:pt idx="87">
                  <c:v>0.26</c:v>
                </c:pt>
                <c:pt idx="88">
                  <c:v>0.5</c:v>
                </c:pt>
                <c:pt idx="89">
                  <c:v>0.5</c:v>
                </c:pt>
                <c:pt idx="90">
                  <c:v>0.48</c:v>
                </c:pt>
                <c:pt idx="91">
                  <c:v>0.47</c:v>
                </c:pt>
                <c:pt idx="92">
                  <c:v>0.42</c:v>
                </c:pt>
                <c:pt idx="93">
                  <c:v>0.42</c:v>
                </c:pt>
                <c:pt idx="94">
                  <c:v>0.41</c:v>
                </c:pt>
                <c:pt idx="95">
                  <c:v>0.38</c:v>
                </c:pt>
                <c:pt idx="96">
                  <c:v>0.36</c:v>
                </c:pt>
                <c:pt idx="97">
                  <c:v>0.34</c:v>
                </c:pt>
                <c:pt idx="98">
                  <c:v>0.34</c:v>
                </c:pt>
                <c:pt idx="99">
                  <c:v>0.33</c:v>
                </c:pt>
                <c:pt idx="100">
                  <c:v>0.22</c:v>
                </c:pt>
                <c:pt idx="101">
                  <c:v>0.14000000000000001</c:v>
                </c:pt>
                <c:pt idx="102">
                  <c:v>0.14000000000000001</c:v>
                </c:pt>
                <c:pt idx="103">
                  <c:v>0.08</c:v>
                </c:pt>
                <c:pt idx="104">
                  <c:v>0.04</c:v>
                </c:pt>
                <c:pt idx="105">
                  <c:v>0.03</c:v>
                </c:pt>
                <c:pt idx="106">
                  <c:v>0.02</c:v>
                </c:pt>
                <c:pt idx="107">
                  <c:v>0.02</c:v>
                </c:pt>
                <c:pt idx="108">
                  <c:v>0.02</c:v>
                </c:pt>
                <c:pt idx="109">
                  <c:v>0.02</c:v>
                </c:pt>
                <c:pt idx="110">
                  <c:v>0.02</c:v>
                </c:pt>
                <c:pt idx="111">
                  <c:v>0.01</c:v>
                </c:pt>
              </c:numCache>
            </c:numRef>
          </c:xVal>
          <c:yVal>
            <c:numRef>
              <c:f>'Cleaned_data '!$H$2:$H$116</c:f>
              <c:numCache>
                <c:formatCode>General</c:formatCode>
                <c:ptCount val="115"/>
                <c:pt idx="0">
                  <c:v>7</c:v>
                </c:pt>
                <c:pt idx="1">
                  <c:v>5</c:v>
                </c:pt>
                <c:pt idx="2">
                  <c:v>5</c:v>
                </c:pt>
                <c:pt idx="3">
                  <c:v>12</c:v>
                </c:pt>
                <c:pt idx="4">
                  <c:v>15</c:v>
                </c:pt>
                <c:pt idx="5">
                  <c:v>3</c:v>
                </c:pt>
                <c:pt idx="6">
                  <c:v>24</c:v>
                </c:pt>
                <c:pt idx="7">
                  <c:v>55</c:v>
                </c:pt>
                <c:pt idx="8">
                  <c:v>1</c:v>
                </c:pt>
                <c:pt idx="9">
                  <c:v>5</c:v>
                </c:pt>
                <c:pt idx="10">
                  <c:v>13</c:v>
                </c:pt>
                <c:pt idx="14">
                  <c:v>6</c:v>
                </c:pt>
                <c:pt idx="17">
                  <c:v>1</c:v>
                </c:pt>
                <c:pt idx="18">
                  <c:v>13</c:v>
                </c:pt>
                <c:pt idx="19">
                  <c:v>9</c:v>
                </c:pt>
                <c:pt idx="20">
                  <c:v>1</c:v>
                </c:pt>
                <c:pt idx="21">
                  <c:v>14</c:v>
                </c:pt>
                <c:pt idx="22">
                  <c:v>5</c:v>
                </c:pt>
                <c:pt idx="23">
                  <c:v>36</c:v>
                </c:pt>
                <c:pt idx="24">
                  <c:v>2</c:v>
                </c:pt>
                <c:pt idx="25">
                  <c:v>6</c:v>
                </c:pt>
                <c:pt idx="26">
                  <c:v>12</c:v>
                </c:pt>
                <c:pt idx="27">
                  <c:v>2</c:v>
                </c:pt>
                <c:pt idx="28">
                  <c:v>2</c:v>
                </c:pt>
                <c:pt idx="29">
                  <c:v>44</c:v>
                </c:pt>
                <c:pt idx="30">
                  <c:v>1</c:v>
                </c:pt>
                <c:pt idx="31">
                  <c:v>12</c:v>
                </c:pt>
                <c:pt idx="32">
                  <c:v>2</c:v>
                </c:pt>
                <c:pt idx="33">
                  <c:v>6</c:v>
                </c:pt>
                <c:pt idx="34">
                  <c:v>2</c:v>
                </c:pt>
                <c:pt idx="35">
                  <c:v>49</c:v>
                </c:pt>
                <c:pt idx="36">
                  <c:v>39</c:v>
                </c:pt>
                <c:pt idx="37">
                  <c:v>12</c:v>
                </c:pt>
                <c:pt idx="41">
                  <c:v>15</c:v>
                </c:pt>
                <c:pt idx="44">
                  <c:v>1</c:v>
                </c:pt>
                <c:pt idx="52">
                  <c:v>69</c:v>
                </c:pt>
                <c:pt idx="59">
                  <c:v>6</c:v>
                </c:pt>
                <c:pt idx="63">
                  <c:v>6</c:v>
                </c:pt>
                <c:pt idx="65">
                  <c:v>17</c:v>
                </c:pt>
                <c:pt idx="68">
                  <c:v>6</c:v>
                </c:pt>
                <c:pt idx="74">
                  <c:v>9</c:v>
                </c:pt>
                <c:pt idx="75">
                  <c:v>1</c:v>
                </c:pt>
                <c:pt idx="76">
                  <c:v>5</c:v>
                </c:pt>
                <c:pt idx="77">
                  <c:v>9</c:v>
                </c:pt>
                <c:pt idx="78">
                  <c:v>13</c:v>
                </c:pt>
                <c:pt idx="79">
                  <c:v>2</c:v>
                </c:pt>
                <c:pt idx="80">
                  <c:v>14</c:v>
                </c:pt>
                <c:pt idx="81">
                  <c:v>5</c:v>
                </c:pt>
                <c:pt idx="82">
                  <c:v>1</c:v>
                </c:pt>
                <c:pt idx="83">
                  <c:v>2</c:v>
                </c:pt>
                <c:pt idx="84">
                  <c:v>7</c:v>
                </c:pt>
                <c:pt idx="85">
                  <c:v>32</c:v>
                </c:pt>
                <c:pt idx="86">
                  <c:v>2</c:v>
                </c:pt>
                <c:pt idx="87">
                  <c:v>5</c:v>
                </c:pt>
                <c:pt idx="89">
                  <c:v>7</c:v>
                </c:pt>
                <c:pt idx="91">
                  <c:v>7</c:v>
                </c:pt>
                <c:pt idx="100">
                  <c:v>16</c:v>
                </c:pt>
              </c:numCache>
            </c:numRef>
          </c:yVal>
          <c:smooth val="0"/>
          <c:extLst>
            <c:ext xmlns:c16="http://schemas.microsoft.com/office/drawing/2014/chart" uri="{C3380CC4-5D6E-409C-BE32-E72D297353CC}">
              <c16:uniqueId val="{00000001-B441-4F23-9508-FE36193A016C}"/>
            </c:ext>
          </c:extLst>
        </c:ser>
        <c:dLbls>
          <c:showLegendKey val="0"/>
          <c:showVal val="0"/>
          <c:showCatName val="0"/>
          <c:showSerName val="0"/>
          <c:showPercent val="0"/>
          <c:showBubbleSize val="0"/>
        </c:dLbls>
        <c:axId val="557837039"/>
        <c:axId val="557832463"/>
      </c:scatterChart>
      <c:valAx>
        <c:axId val="557837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2463"/>
        <c:crosses val="autoZero"/>
        <c:crossBetween val="midCat"/>
      </c:valAx>
      <c:valAx>
        <c:axId val="55783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7039"/>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r>
              <a:rPr lang="en-US" baseline="0"/>
              <a:t> and Review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 '!$I$1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'Cleaned_data '!$H$2:$H$116</c:f>
              <c:numCache>
                <c:formatCode>General</c:formatCode>
                <c:ptCount val="115"/>
                <c:pt idx="0">
                  <c:v>7</c:v>
                </c:pt>
                <c:pt idx="1">
                  <c:v>5</c:v>
                </c:pt>
                <c:pt idx="2">
                  <c:v>5</c:v>
                </c:pt>
                <c:pt idx="3">
                  <c:v>12</c:v>
                </c:pt>
                <c:pt idx="4">
                  <c:v>15</c:v>
                </c:pt>
                <c:pt idx="5">
                  <c:v>3</c:v>
                </c:pt>
                <c:pt idx="6">
                  <c:v>24</c:v>
                </c:pt>
                <c:pt idx="7">
                  <c:v>55</c:v>
                </c:pt>
                <c:pt idx="8">
                  <c:v>1</c:v>
                </c:pt>
                <c:pt idx="9">
                  <c:v>5</c:v>
                </c:pt>
                <c:pt idx="10">
                  <c:v>13</c:v>
                </c:pt>
                <c:pt idx="14">
                  <c:v>6</c:v>
                </c:pt>
                <c:pt idx="17">
                  <c:v>1</c:v>
                </c:pt>
                <c:pt idx="18">
                  <c:v>13</c:v>
                </c:pt>
                <c:pt idx="19">
                  <c:v>9</c:v>
                </c:pt>
                <c:pt idx="20">
                  <c:v>1</c:v>
                </c:pt>
                <c:pt idx="21">
                  <c:v>14</c:v>
                </c:pt>
                <c:pt idx="22">
                  <c:v>5</c:v>
                </c:pt>
                <c:pt idx="23">
                  <c:v>36</c:v>
                </c:pt>
                <c:pt idx="24">
                  <c:v>2</c:v>
                </c:pt>
                <c:pt idx="25">
                  <c:v>6</c:v>
                </c:pt>
                <c:pt idx="26">
                  <c:v>12</c:v>
                </c:pt>
                <c:pt idx="27">
                  <c:v>2</c:v>
                </c:pt>
                <c:pt idx="28">
                  <c:v>2</c:v>
                </c:pt>
                <c:pt idx="29">
                  <c:v>44</c:v>
                </c:pt>
                <c:pt idx="30">
                  <c:v>1</c:v>
                </c:pt>
                <c:pt idx="31">
                  <c:v>12</c:v>
                </c:pt>
                <c:pt idx="32">
                  <c:v>2</c:v>
                </c:pt>
                <c:pt idx="33">
                  <c:v>6</c:v>
                </c:pt>
                <c:pt idx="34">
                  <c:v>2</c:v>
                </c:pt>
                <c:pt idx="35">
                  <c:v>49</c:v>
                </c:pt>
                <c:pt idx="36">
                  <c:v>39</c:v>
                </c:pt>
                <c:pt idx="37">
                  <c:v>12</c:v>
                </c:pt>
                <c:pt idx="41">
                  <c:v>15</c:v>
                </c:pt>
                <c:pt idx="44">
                  <c:v>1</c:v>
                </c:pt>
                <c:pt idx="52">
                  <c:v>69</c:v>
                </c:pt>
                <c:pt idx="59">
                  <c:v>6</c:v>
                </c:pt>
                <c:pt idx="63">
                  <c:v>6</c:v>
                </c:pt>
                <c:pt idx="65">
                  <c:v>17</c:v>
                </c:pt>
                <c:pt idx="68">
                  <c:v>6</c:v>
                </c:pt>
                <c:pt idx="74">
                  <c:v>9</c:v>
                </c:pt>
                <c:pt idx="75">
                  <c:v>1</c:v>
                </c:pt>
                <c:pt idx="76">
                  <c:v>5</c:v>
                </c:pt>
                <c:pt idx="77">
                  <c:v>9</c:v>
                </c:pt>
                <c:pt idx="78">
                  <c:v>13</c:v>
                </c:pt>
                <c:pt idx="79">
                  <c:v>2</c:v>
                </c:pt>
                <c:pt idx="80">
                  <c:v>14</c:v>
                </c:pt>
                <c:pt idx="81">
                  <c:v>5</c:v>
                </c:pt>
                <c:pt idx="82">
                  <c:v>1</c:v>
                </c:pt>
                <c:pt idx="83">
                  <c:v>2</c:v>
                </c:pt>
                <c:pt idx="84">
                  <c:v>7</c:v>
                </c:pt>
                <c:pt idx="85">
                  <c:v>32</c:v>
                </c:pt>
                <c:pt idx="86">
                  <c:v>2</c:v>
                </c:pt>
                <c:pt idx="87">
                  <c:v>5</c:v>
                </c:pt>
                <c:pt idx="89">
                  <c:v>7</c:v>
                </c:pt>
                <c:pt idx="91">
                  <c:v>7</c:v>
                </c:pt>
                <c:pt idx="100">
                  <c:v>16</c:v>
                </c:pt>
              </c:numCache>
            </c:numRef>
          </c:xVal>
          <c:yVal>
            <c:numRef>
              <c:f>'Cleaned_data '!$I$2:$I$116</c:f>
              <c:numCache>
                <c:formatCode>General</c:formatCode>
                <c:ptCount val="115"/>
                <c:pt idx="0">
                  <c:v>4.3</c:v>
                </c:pt>
                <c:pt idx="1">
                  <c:v>3</c:v>
                </c:pt>
                <c:pt idx="2">
                  <c:v>3</c:v>
                </c:pt>
                <c:pt idx="3">
                  <c:v>3.8</c:v>
                </c:pt>
                <c:pt idx="4">
                  <c:v>4</c:v>
                </c:pt>
                <c:pt idx="5">
                  <c:v>5</c:v>
                </c:pt>
                <c:pt idx="6">
                  <c:v>4.5999999999999996</c:v>
                </c:pt>
                <c:pt idx="7">
                  <c:v>4.5999999999999996</c:v>
                </c:pt>
                <c:pt idx="8">
                  <c:v>5</c:v>
                </c:pt>
                <c:pt idx="9">
                  <c:v>4.5999999999999996</c:v>
                </c:pt>
                <c:pt idx="10">
                  <c:v>2.1</c:v>
                </c:pt>
                <c:pt idx="14">
                  <c:v>2.5</c:v>
                </c:pt>
                <c:pt idx="17">
                  <c:v>3</c:v>
                </c:pt>
                <c:pt idx="18">
                  <c:v>3.3</c:v>
                </c:pt>
                <c:pt idx="19">
                  <c:v>4.3</c:v>
                </c:pt>
                <c:pt idx="20">
                  <c:v>4</c:v>
                </c:pt>
                <c:pt idx="21">
                  <c:v>4.0999999999999996</c:v>
                </c:pt>
                <c:pt idx="22">
                  <c:v>3</c:v>
                </c:pt>
                <c:pt idx="23">
                  <c:v>4.3</c:v>
                </c:pt>
                <c:pt idx="24">
                  <c:v>4</c:v>
                </c:pt>
                <c:pt idx="25">
                  <c:v>4</c:v>
                </c:pt>
                <c:pt idx="26">
                  <c:v>4.0999999999999996</c:v>
                </c:pt>
                <c:pt idx="27">
                  <c:v>5</c:v>
                </c:pt>
                <c:pt idx="28">
                  <c:v>5</c:v>
                </c:pt>
                <c:pt idx="29">
                  <c:v>4.5999999999999996</c:v>
                </c:pt>
                <c:pt idx="30">
                  <c:v>5</c:v>
                </c:pt>
                <c:pt idx="31">
                  <c:v>4.8</c:v>
                </c:pt>
                <c:pt idx="32">
                  <c:v>5</c:v>
                </c:pt>
                <c:pt idx="33">
                  <c:v>4.5</c:v>
                </c:pt>
                <c:pt idx="34">
                  <c:v>4.5</c:v>
                </c:pt>
                <c:pt idx="35">
                  <c:v>4.5999999999999996</c:v>
                </c:pt>
                <c:pt idx="36">
                  <c:v>4.7</c:v>
                </c:pt>
                <c:pt idx="37">
                  <c:v>4.7</c:v>
                </c:pt>
                <c:pt idx="41">
                  <c:v>2.7</c:v>
                </c:pt>
                <c:pt idx="44">
                  <c:v>2</c:v>
                </c:pt>
                <c:pt idx="52">
                  <c:v>2.8</c:v>
                </c:pt>
                <c:pt idx="59">
                  <c:v>2.2000000000000002</c:v>
                </c:pt>
                <c:pt idx="63">
                  <c:v>2.2000000000000002</c:v>
                </c:pt>
                <c:pt idx="65">
                  <c:v>2.6</c:v>
                </c:pt>
                <c:pt idx="68">
                  <c:v>2.2999999999999998</c:v>
                </c:pt>
                <c:pt idx="74">
                  <c:v>4.3</c:v>
                </c:pt>
                <c:pt idx="75">
                  <c:v>3</c:v>
                </c:pt>
                <c:pt idx="76">
                  <c:v>3.8</c:v>
                </c:pt>
                <c:pt idx="77">
                  <c:v>4.2</c:v>
                </c:pt>
                <c:pt idx="78">
                  <c:v>3.8</c:v>
                </c:pt>
                <c:pt idx="79">
                  <c:v>4.0999999999999996</c:v>
                </c:pt>
                <c:pt idx="80">
                  <c:v>4.4000000000000004</c:v>
                </c:pt>
                <c:pt idx="81">
                  <c:v>4.8</c:v>
                </c:pt>
                <c:pt idx="82">
                  <c:v>5</c:v>
                </c:pt>
                <c:pt idx="83">
                  <c:v>4.5</c:v>
                </c:pt>
                <c:pt idx="84">
                  <c:v>4.7</c:v>
                </c:pt>
                <c:pt idx="85">
                  <c:v>4.5</c:v>
                </c:pt>
                <c:pt idx="86">
                  <c:v>4.7</c:v>
                </c:pt>
                <c:pt idx="87">
                  <c:v>4.8</c:v>
                </c:pt>
                <c:pt idx="89">
                  <c:v>2.2999999999999998</c:v>
                </c:pt>
                <c:pt idx="91">
                  <c:v>2.1</c:v>
                </c:pt>
                <c:pt idx="100">
                  <c:v>2.9</c:v>
                </c:pt>
              </c:numCache>
            </c:numRef>
          </c:yVal>
          <c:smooth val="0"/>
          <c:extLst>
            <c:ext xmlns:c16="http://schemas.microsoft.com/office/drawing/2014/chart" uri="{C3380CC4-5D6E-409C-BE32-E72D297353CC}">
              <c16:uniqueId val="{00000000-A61D-4C16-B4FD-261B3377C4C6}"/>
            </c:ext>
          </c:extLst>
        </c:ser>
        <c:dLbls>
          <c:showLegendKey val="0"/>
          <c:showVal val="0"/>
          <c:showCatName val="0"/>
          <c:showSerName val="0"/>
          <c:showPercent val="0"/>
          <c:showBubbleSize val="0"/>
        </c:dLbls>
        <c:axId val="620912431"/>
        <c:axId val="620918255"/>
      </c:scatterChart>
      <c:valAx>
        <c:axId val="62091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8255"/>
        <c:crosses val="autoZero"/>
        <c:crossBetween val="midCat"/>
      </c:valAx>
      <c:valAx>
        <c:axId val="62091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24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Pricing and Ratings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 '!$I$1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xVal>
            <c:strRef>
              <c:f>'Cleaned_data '!$D$2:$D$116</c:f>
              <c:strCache>
                <c:ptCount val="112"/>
                <c:pt idx="0">
                  <c:v>High Price</c:v>
                </c:pt>
                <c:pt idx="1">
                  <c:v>High Price</c:v>
                </c:pt>
                <c:pt idx="2">
                  <c:v>High Price</c:v>
                </c:pt>
                <c:pt idx="3">
                  <c:v>High Price</c:v>
                </c:pt>
                <c:pt idx="4">
                  <c:v>High Price</c:v>
                </c:pt>
                <c:pt idx="5">
                  <c:v>High Price</c:v>
                </c:pt>
                <c:pt idx="6">
                  <c:v>High Price</c:v>
                </c:pt>
                <c:pt idx="7">
                  <c:v>High Price</c:v>
                </c:pt>
                <c:pt idx="8">
                  <c:v>High Price</c:v>
                </c:pt>
                <c:pt idx="9">
                  <c:v>High Price</c:v>
                </c:pt>
                <c:pt idx="10">
                  <c:v>High Price</c:v>
                </c:pt>
                <c:pt idx="11">
                  <c:v>High Price</c:v>
                </c:pt>
                <c:pt idx="12">
                  <c:v>High Price</c:v>
                </c:pt>
                <c:pt idx="13">
                  <c:v>High Price</c:v>
                </c:pt>
                <c:pt idx="14">
                  <c:v>High Price</c:v>
                </c:pt>
                <c:pt idx="15">
                  <c:v>High Price</c:v>
                </c:pt>
                <c:pt idx="16">
                  <c:v>High Price</c:v>
                </c:pt>
                <c:pt idx="17">
                  <c:v>Low Price</c:v>
                </c:pt>
                <c:pt idx="18">
                  <c:v>Low Price</c:v>
                </c:pt>
                <c:pt idx="19">
                  <c:v>Low Price</c:v>
                </c:pt>
                <c:pt idx="20">
                  <c:v>Low Price</c:v>
                </c:pt>
                <c:pt idx="21">
                  <c:v>Low Price</c:v>
                </c:pt>
                <c:pt idx="22">
                  <c:v>Low Price</c:v>
                </c:pt>
                <c:pt idx="23">
                  <c:v>Low Price</c:v>
                </c:pt>
                <c:pt idx="24">
                  <c:v>Low Price</c:v>
                </c:pt>
                <c:pt idx="25">
                  <c:v>Low Price</c:v>
                </c:pt>
                <c:pt idx="26">
                  <c:v>Low Price</c:v>
                </c:pt>
                <c:pt idx="27">
                  <c:v>Low Price</c:v>
                </c:pt>
                <c:pt idx="28">
                  <c:v>Low Price</c:v>
                </c:pt>
                <c:pt idx="29">
                  <c:v>Low Price</c:v>
                </c:pt>
                <c:pt idx="30">
                  <c:v>Low Price</c:v>
                </c:pt>
                <c:pt idx="31">
                  <c:v>Low Price</c:v>
                </c:pt>
                <c:pt idx="32">
                  <c:v>Low Price</c:v>
                </c:pt>
                <c:pt idx="33">
                  <c:v>Low Price</c:v>
                </c:pt>
                <c:pt idx="34">
                  <c:v>Low Price</c:v>
                </c:pt>
                <c:pt idx="35">
                  <c:v>Low Price</c:v>
                </c:pt>
                <c:pt idx="36">
                  <c:v>Low Price</c:v>
                </c:pt>
                <c:pt idx="37">
                  <c:v>Low Price</c:v>
                </c:pt>
                <c:pt idx="38">
                  <c:v>Low Price</c:v>
                </c:pt>
                <c:pt idx="39">
                  <c:v>Low Price</c:v>
                </c:pt>
                <c:pt idx="40">
                  <c:v>Low Price</c:v>
                </c:pt>
                <c:pt idx="41">
                  <c:v>Low Price</c:v>
                </c:pt>
                <c:pt idx="42">
                  <c:v>Low Price</c:v>
                </c:pt>
                <c:pt idx="43">
                  <c:v>Low Price</c:v>
                </c:pt>
                <c:pt idx="44">
                  <c:v>Low Price</c:v>
                </c:pt>
                <c:pt idx="45">
                  <c:v>Low Price</c:v>
                </c:pt>
                <c:pt idx="46">
                  <c:v>Low Price</c:v>
                </c:pt>
                <c:pt idx="47">
                  <c:v>Low Price</c:v>
                </c:pt>
                <c:pt idx="48">
                  <c:v>Low Price</c:v>
                </c:pt>
                <c:pt idx="49">
                  <c:v>Low Price</c:v>
                </c:pt>
                <c:pt idx="50">
                  <c:v>Low Price</c:v>
                </c:pt>
                <c:pt idx="51">
                  <c:v>Low Price</c:v>
                </c:pt>
                <c:pt idx="52">
                  <c:v>Low Price</c:v>
                </c:pt>
                <c:pt idx="53">
                  <c:v>Low Price</c:v>
                </c:pt>
                <c:pt idx="54">
                  <c:v>Low Price</c:v>
                </c:pt>
                <c:pt idx="55">
                  <c:v>Low Price</c:v>
                </c:pt>
                <c:pt idx="56">
                  <c:v>Low Price</c:v>
                </c:pt>
                <c:pt idx="57">
                  <c:v>Low Price</c:v>
                </c:pt>
                <c:pt idx="58">
                  <c:v>Low Price</c:v>
                </c:pt>
                <c:pt idx="59">
                  <c:v>Low Price</c:v>
                </c:pt>
                <c:pt idx="60">
                  <c:v>Low Price</c:v>
                </c:pt>
                <c:pt idx="61">
                  <c:v>Low Price</c:v>
                </c:pt>
                <c:pt idx="62">
                  <c:v>Low Price</c:v>
                </c:pt>
                <c:pt idx="63">
                  <c:v>Low Price</c:v>
                </c:pt>
                <c:pt idx="64">
                  <c:v>Low Price</c:v>
                </c:pt>
                <c:pt idx="65">
                  <c:v>Low Price</c:v>
                </c:pt>
                <c:pt idx="66">
                  <c:v>Low Price</c:v>
                </c:pt>
                <c:pt idx="67">
                  <c:v>Low Price</c:v>
                </c:pt>
                <c:pt idx="68">
                  <c:v>Low Price</c:v>
                </c:pt>
                <c:pt idx="69">
                  <c:v>Low Price</c:v>
                </c:pt>
                <c:pt idx="70">
                  <c:v>Low Price</c:v>
                </c:pt>
                <c:pt idx="71">
                  <c:v>Low Price</c:v>
                </c:pt>
                <c:pt idx="72">
                  <c:v>Low Price</c:v>
                </c:pt>
                <c:pt idx="73">
                  <c:v>Low Price</c:v>
                </c:pt>
                <c:pt idx="74">
                  <c:v>Medium Price</c:v>
                </c:pt>
                <c:pt idx="75">
                  <c:v>Medium Price</c:v>
                </c:pt>
                <c:pt idx="76">
                  <c:v>Medium Price</c:v>
                </c:pt>
                <c:pt idx="77">
                  <c:v>Medium Price</c:v>
                </c:pt>
                <c:pt idx="78">
                  <c:v>Medium Price</c:v>
                </c:pt>
                <c:pt idx="79">
                  <c:v>Medium Price</c:v>
                </c:pt>
                <c:pt idx="80">
                  <c:v>Medium Price</c:v>
                </c:pt>
                <c:pt idx="81">
                  <c:v>Medium Price</c:v>
                </c:pt>
                <c:pt idx="82">
                  <c:v>Medium Price</c:v>
                </c:pt>
                <c:pt idx="83">
                  <c:v>Medium Price</c:v>
                </c:pt>
                <c:pt idx="84">
                  <c:v>Medium Price</c:v>
                </c:pt>
                <c:pt idx="85">
                  <c:v>Medium Price</c:v>
                </c:pt>
                <c:pt idx="86">
                  <c:v>Medium Price</c:v>
                </c:pt>
                <c:pt idx="87">
                  <c:v>Medium Price</c:v>
                </c:pt>
                <c:pt idx="88">
                  <c:v>Medium Price</c:v>
                </c:pt>
                <c:pt idx="89">
                  <c:v>Medium Price</c:v>
                </c:pt>
                <c:pt idx="90">
                  <c:v>Medium Price</c:v>
                </c:pt>
                <c:pt idx="91">
                  <c:v>Medium Price</c:v>
                </c:pt>
                <c:pt idx="92">
                  <c:v>Medium Price</c:v>
                </c:pt>
                <c:pt idx="93">
                  <c:v>Medium Price</c:v>
                </c:pt>
                <c:pt idx="94">
                  <c:v>Medium Price</c:v>
                </c:pt>
                <c:pt idx="95">
                  <c:v>Medium Price</c:v>
                </c:pt>
                <c:pt idx="96">
                  <c:v>Medium Price</c:v>
                </c:pt>
                <c:pt idx="97">
                  <c:v>Medium Price</c:v>
                </c:pt>
                <c:pt idx="98">
                  <c:v>Medium Price</c:v>
                </c:pt>
                <c:pt idx="99">
                  <c:v>Medium Price</c:v>
                </c:pt>
                <c:pt idx="100">
                  <c:v>Medium Price</c:v>
                </c:pt>
                <c:pt idx="101">
                  <c:v>Medium Price</c:v>
                </c:pt>
                <c:pt idx="102">
                  <c:v>Medium Price</c:v>
                </c:pt>
                <c:pt idx="103">
                  <c:v>Medium Price</c:v>
                </c:pt>
                <c:pt idx="104">
                  <c:v>Medium Price</c:v>
                </c:pt>
                <c:pt idx="105">
                  <c:v>Medium Price</c:v>
                </c:pt>
                <c:pt idx="106">
                  <c:v>Medium Price</c:v>
                </c:pt>
                <c:pt idx="107">
                  <c:v>Medium Price</c:v>
                </c:pt>
                <c:pt idx="108">
                  <c:v>Medium Price</c:v>
                </c:pt>
                <c:pt idx="109">
                  <c:v>Medium Price</c:v>
                </c:pt>
                <c:pt idx="110">
                  <c:v>Medium Price</c:v>
                </c:pt>
                <c:pt idx="111">
                  <c:v>Medium Price</c:v>
                </c:pt>
              </c:strCache>
            </c:strRef>
          </c:xVal>
          <c:yVal>
            <c:numRef>
              <c:f>'Cleaned_data '!$I$2:$I$116</c:f>
              <c:numCache>
                <c:formatCode>General</c:formatCode>
                <c:ptCount val="115"/>
                <c:pt idx="0">
                  <c:v>4.3</c:v>
                </c:pt>
                <c:pt idx="1">
                  <c:v>3</c:v>
                </c:pt>
                <c:pt idx="2">
                  <c:v>3</c:v>
                </c:pt>
                <c:pt idx="3">
                  <c:v>3.8</c:v>
                </c:pt>
                <c:pt idx="4">
                  <c:v>4</c:v>
                </c:pt>
                <c:pt idx="5">
                  <c:v>5</c:v>
                </c:pt>
                <c:pt idx="6">
                  <c:v>4.5999999999999996</c:v>
                </c:pt>
                <c:pt idx="7">
                  <c:v>4.5999999999999996</c:v>
                </c:pt>
                <c:pt idx="8">
                  <c:v>5</c:v>
                </c:pt>
                <c:pt idx="9">
                  <c:v>4.5999999999999996</c:v>
                </c:pt>
                <c:pt idx="10">
                  <c:v>2.1</c:v>
                </c:pt>
                <c:pt idx="14">
                  <c:v>2.5</c:v>
                </c:pt>
                <c:pt idx="17">
                  <c:v>3</c:v>
                </c:pt>
                <c:pt idx="18">
                  <c:v>3.3</c:v>
                </c:pt>
                <c:pt idx="19">
                  <c:v>4.3</c:v>
                </c:pt>
                <c:pt idx="20">
                  <c:v>4</c:v>
                </c:pt>
                <c:pt idx="21">
                  <c:v>4.0999999999999996</c:v>
                </c:pt>
                <c:pt idx="22">
                  <c:v>3</c:v>
                </c:pt>
                <c:pt idx="23">
                  <c:v>4.3</c:v>
                </c:pt>
                <c:pt idx="24">
                  <c:v>4</c:v>
                </c:pt>
                <c:pt idx="25">
                  <c:v>4</c:v>
                </c:pt>
                <c:pt idx="26">
                  <c:v>4.0999999999999996</c:v>
                </c:pt>
                <c:pt idx="27">
                  <c:v>5</c:v>
                </c:pt>
                <c:pt idx="28">
                  <c:v>5</c:v>
                </c:pt>
                <c:pt idx="29">
                  <c:v>4.5999999999999996</c:v>
                </c:pt>
                <c:pt idx="30">
                  <c:v>5</c:v>
                </c:pt>
                <c:pt idx="31">
                  <c:v>4.8</c:v>
                </c:pt>
                <c:pt idx="32">
                  <c:v>5</c:v>
                </c:pt>
                <c:pt idx="33">
                  <c:v>4.5</c:v>
                </c:pt>
                <c:pt idx="34">
                  <c:v>4.5</c:v>
                </c:pt>
                <c:pt idx="35">
                  <c:v>4.5999999999999996</c:v>
                </c:pt>
                <c:pt idx="36">
                  <c:v>4.7</c:v>
                </c:pt>
                <c:pt idx="37">
                  <c:v>4.7</c:v>
                </c:pt>
                <c:pt idx="41">
                  <c:v>2.7</c:v>
                </c:pt>
                <c:pt idx="44">
                  <c:v>2</c:v>
                </c:pt>
                <c:pt idx="52">
                  <c:v>2.8</c:v>
                </c:pt>
                <c:pt idx="59">
                  <c:v>2.2000000000000002</c:v>
                </c:pt>
                <c:pt idx="63">
                  <c:v>2.2000000000000002</c:v>
                </c:pt>
                <c:pt idx="65">
                  <c:v>2.6</c:v>
                </c:pt>
                <c:pt idx="68">
                  <c:v>2.2999999999999998</c:v>
                </c:pt>
                <c:pt idx="74">
                  <c:v>4.3</c:v>
                </c:pt>
                <c:pt idx="75">
                  <c:v>3</c:v>
                </c:pt>
                <c:pt idx="76">
                  <c:v>3.8</c:v>
                </c:pt>
                <c:pt idx="77">
                  <c:v>4.2</c:v>
                </c:pt>
                <c:pt idx="78">
                  <c:v>3.8</c:v>
                </c:pt>
                <c:pt idx="79">
                  <c:v>4.0999999999999996</c:v>
                </c:pt>
                <c:pt idx="80">
                  <c:v>4.4000000000000004</c:v>
                </c:pt>
                <c:pt idx="81">
                  <c:v>4.8</c:v>
                </c:pt>
                <c:pt idx="82">
                  <c:v>5</c:v>
                </c:pt>
                <c:pt idx="83">
                  <c:v>4.5</c:v>
                </c:pt>
                <c:pt idx="84">
                  <c:v>4.7</c:v>
                </c:pt>
                <c:pt idx="85">
                  <c:v>4.5</c:v>
                </c:pt>
                <c:pt idx="86">
                  <c:v>4.7</c:v>
                </c:pt>
                <c:pt idx="87">
                  <c:v>4.8</c:v>
                </c:pt>
                <c:pt idx="89">
                  <c:v>2.2999999999999998</c:v>
                </c:pt>
                <c:pt idx="91">
                  <c:v>2.1</c:v>
                </c:pt>
                <c:pt idx="100">
                  <c:v>2.9</c:v>
                </c:pt>
              </c:numCache>
            </c:numRef>
          </c:yVal>
          <c:smooth val="0"/>
          <c:extLst>
            <c:ext xmlns:c16="http://schemas.microsoft.com/office/drawing/2014/chart" uri="{C3380CC4-5D6E-409C-BE32-E72D297353CC}">
              <c16:uniqueId val="{00000000-D7EA-42E5-93A4-6970FE485CF7}"/>
            </c:ext>
          </c:extLst>
        </c:ser>
        <c:dLbls>
          <c:showLegendKey val="0"/>
          <c:showVal val="0"/>
          <c:showCatName val="0"/>
          <c:showSerName val="0"/>
          <c:showPercent val="0"/>
          <c:showBubbleSize val="0"/>
        </c:dLbls>
        <c:axId val="557843695"/>
        <c:axId val="557831631"/>
      </c:scatterChart>
      <c:valAx>
        <c:axId val="55784369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1631"/>
        <c:crosses val="autoZero"/>
        <c:crossBetween val="midCat"/>
      </c:valAx>
      <c:valAx>
        <c:axId val="55783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43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Price</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Sheet4!$B$1</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dPt>
          <c:dPt>
            <c:idx val="1"/>
            <c:bubble3D val="0"/>
            <c:spPr>
              <a:solidFill>
                <a:schemeClr val="accent6"/>
              </a:solidFill>
              <a:ln w="25400">
                <a:solidFill>
                  <a:schemeClr val="lt1"/>
                </a:solidFill>
              </a:ln>
              <a:effectLst/>
              <a:sp3d contourW="25400">
                <a:contourClr>
                  <a:schemeClr val="lt1"/>
                </a:contourClr>
              </a:sp3d>
            </c:spPr>
          </c:dPt>
          <c:dPt>
            <c:idx val="2"/>
            <c:bubble3D val="0"/>
            <c:spPr>
              <a:solidFill>
                <a:schemeClr val="accent6">
                  <a:shade val="65000"/>
                </a:schemeClr>
              </a:solidFill>
              <a:ln w="25400">
                <a:solidFill>
                  <a:schemeClr val="lt1"/>
                </a:solidFill>
              </a:ln>
              <a:effectLst/>
              <a:sp3d contourW="25400">
                <a:contourClr>
                  <a:schemeClr val="lt1"/>
                </a:contourClr>
              </a:sp3d>
            </c:spPr>
          </c:dPt>
          <c:cat>
            <c:strRef>
              <c:f>Sheet4!$A$2:$A$5</c:f>
              <c:strCache>
                <c:ptCount val="3"/>
                <c:pt idx="0">
                  <c:v>Average</c:v>
                </c:pt>
                <c:pt idx="1">
                  <c:v>Excellent</c:v>
                </c:pt>
                <c:pt idx="2">
                  <c:v>Poor</c:v>
                </c:pt>
              </c:strCache>
            </c:strRef>
          </c:cat>
          <c:val>
            <c:numRef>
              <c:f>Sheet4!$B$2:$B$5</c:f>
              <c:numCache>
                <c:formatCode>General</c:formatCode>
                <c:ptCount val="3"/>
                <c:pt idx="0">
                  <c:v>22</c:v>
                </c:pt>
                <c:pt idx="1">
                  <c:v>23</c:v>
                </c:pt>
                <c:pt idx="2">
                  <c:v>67</c:v>
                </c:pt>
              </c:numCache>
            </c:numRef>
          </c:val>
          <c:extLst>
            <c:ext xmlns:c16="http://schemas.microsoft.com/office/drawing/2014/chart" uri="{C3380CC4-5D6E-409C-BE32-E72D297353CC}">
              <c16:uniqueId val="{00000000-0250-45CB-A4DC-8165CCAFF7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new.xlsx]Sheet4!PivotTable10</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Sheet4!$B$7</c:f>
              <c:strCache>
                <c:ptCount val="1"/>
                <c:pt idx="0">
                  <c:v>Total</c:v>
                </c:pt>
              </c:strCache>
            </c:strRef>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cat>
            <c:strRef>
              <c:f>Sheet4!$A$8:$A$11</c:f>
              <c:strCache>
                <c:ptCount val="3"/>
                <c:pt idx="0">
                  <c:v>High Discount</c:v>
                </c:pt>
                <c:pt idx="1">
                  <c:v>Low Discount</c:v>
                </c:pt>
                <c:pt idx="2">
                  <c:v>Medium Discount</c:v>
                </c:pt>
              </c:strCache>
            </c:strRef>
          </c:cat>
          <c:val>
            <c:numRef>
              <c:f>Sheet4!$B$8:$B$11</c:f>
              <c:numCache>
                <c:formatCode>General</c:formatCode>
                <c:ptCount val="3"/>
                <c:pt idx="0">
                  <c:v>62</c:v>
                </c:pt>
                <c:pt idx="1">
                  <c:v>18</c:v>
                </c:pt>
                <c:pt idx="2">
                  <c:v>32</c:v>
                </c:pt>
              </c:numCache>
            </c:numRef>
          </c:val>
          <c:extLst>
            <c:ext xmlns:c16="http://schemas.microsoft.com/office/drawing/2014/chart" uri="{C3380CC4-5D6E-409C-BE32-E72D297353CC}">
              <c16:uniqueId val="{00000000-8AC8-46D0-BB25-A0EAD9246B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Sheet4!$B$25</c:f>
              <c:strCache>
                <c:ptCount val="1"/>
                <c:pt idx="0">
                  <c:v>Total</c:v>
                </c:pt>
              </c:strCache>
            </c:strRef>
          </c:tx>
          <c:spPr>
            <a:solidFill>
              <a:schemeClr val="accent6"/>
            </a:solidFill>
            <a:ln>
              <a:noFill/>
            </a:ln>
            <a:effectLst/>
          </c:spPr>
          <c:invertIfNegative val="0"/>
          <c:cat>
            <c:strRef>
              <c:f>Sheet4!$A$26:$A$29</c:f>
              <c:strCache>
                <c:ptCount val="3"/>
                <c:pt idx="0">
                  <c:v>High Discount</c:v>
                </c:pt>
                <c:pt idx="1">
                  <c:v>Low Discount</c:v>
                </c:pt>
                <c:pt idx="2">
                  <c:v>Medium Discount</c:v>
                </c:pt>
              </c:strCache>
            </c:strRef>
          </c:cat>
          <c:val>
            <c:numRef>
              <c:f>Sheet4!$B$26:$B$29</c:f>
              <c:numCache>
                <c:formatCode>General</c:formatCode>
                <c:ptCount val="3"/>
                <c:pt idx="0">
                  <c:v>325</c:v>
                </c:pt>
                <c:pt idx="1">
                  <c:v>38</c:v>
                </c:pt>
                <c:pt idx="2">
                  <c:v>315</c:v>
                </c:pt>
              </c:numCache>
            </c:numRef>
          </c:val>
          <c:extLst>
            <c:ext xmlns:c16="http://schemas.microsoft.com/office/drawing/2014/chart" uri="{C3380CC4-5D6E-409C-BE32-E72D297353CC}">
              <c16:uniqueId val="{00000000-A9B9-44EC-B870-CC0A55D70749}"/>
            </c:ext>
          </c:extLst>
        </c:ser>
        <c:dLbls>
          <c:showLegendKey val="0"/>
          <c:showVal val="0"/>
          <c:showCatName val="0"/>
          <c:showSerName val="0"/>
          <c:showPercent val="0"/>
          <c:showBubbleSize val="0"/>
        </c:dLbls>
        <c:gapWidth val="150"/>
        <c:overlap val="100"/>
        <c:axId val="620917007"/>
        <c:axId val="620926159"/>
      </c:barChart>
      <c:catAx>
        <c:axId val="62091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26159"/>
        <c:crosses val="autoZero"/>
        <c:auto val="1"/>
        <c:lblAlgn val="ctr"/>
        <c:lblOffset val="100"/>
        <c:noMultiLvlLbl val="0"/>
      </c:catAx>
      <c:valAx>
        <c:axId val="62092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Category by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Sheet4!$B$19</c:f>
              <c:strCache>
                <c:ptCount val="1"/>
                <c:pt idx="0">
                  <c:v>Total</c:v>
                </c:pt>
              </c:strCache>
            </c:strRef>
          </c:tx>
          <c:spPr>
            <a:solidFill>
              <a:schemeClr val="accent6"/>
            </a:solidFill>
            <a:ln>
              <a:noFill/>
            </a:ln>
            <a:effectLst/>
            <a:sp3d/>
          </c:spPr>
          <c:invertIfNegative val="0"/>
          <c:cat>
            <c:strRef>
              <c:f>Sheet4!$A$20:$A$23</c:f>
              <c:strCache>
                <c:ptCount val="3"/>
                <c:pt idx="0">
                  <c:v>High Price</c:v>
                </c:pt>
                <c:pt idx="1">
                  <c:v>Low Price</c:v>
                </c:pt>
                <c:pt idx="2">
                  <c:v>Medium Price</c:v>
                </c:pt>
              </c:strCache>
            </c:strRef>
          </c:cat>
          <c:val>
            <c:numRef>
              <c:f>Sheet4!$B$20:$B$23</c:f>
              <c:numCache>
                <c:formatCode>General</c:formatCode>
                <c:ptCount val="3"/>
                <c:pt idx="0">
                  <c:v>46.5</c:v>
                </c:pt>
                <c:pt idx="1">
                  <c:v>107.29999999999998</c:v>
                </c:pt>
                <c:pt idx="2">
                  <c:v>67.899999999999991</c:v>
                </c:pt>
              </c:numCache>
            </c:numRef>
          </c:val>
          <c:extLst>
            <c:ext xmlns:c16="http://schemas.microsoft.com/office/drawing/2014/chart" uri="{C3380CC4-5D6E-409C-BE32-E72D297353CC}">
              <c16:uniqueId val="{00000000-F7FC-4C51-A6C6-819F335CF245}"/>
            </c:ext>
          </c:extLst>
        </c:ser>
        <c:dLbls>
          <c:showLegendKey val="0"/>
          <c:showVal val="0"/>
          <c:showCatName val="0"/>
          <c:showSerName val="0"/>
          <c:showPercent val="0"/>
          <c:showBubbleSize val="0"/>
        </c:dLbls>
        <c:gapWidth val="150"/>
        <c:shape val="box"/>
        <c:axId val="730040127"/>
        <c:axId val="730053023"/>
        <c:axId val="0"/>
      </c:bar3DChart>
      <c:catAx>
        <c:axId val="73004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53023"/>
        <c:crosses val="autoZero"/>
        <c:auto val="1"/>
        <c:lblAlgn val="ctr"/>
        <c:lblOffset val="100"/>
        <c:noMultiLvlLbl val="0"/>
      </c:catAx>
      <c:valAx>
        <c:axId val="7300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a:t>
            </a:r>
            <a:r>
              <a:rPr lang="en-US" b="1"/>
              <a:t>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Perfomance Analysis '!$I$29</c:f>
              <c:strCache>
                <c:ptCount val="1"/>
                <c:pt idx="0">
                  <c:v>Ratings</c:v>
                </c:pt>
              </c:strCache>
            </c:strRef>
          </c:tx>
          <c:spPr>
            <a:solidFill>
              <a:schemeClr val="accent6"/>
            </a:solidFill>
            <a:ln>
              <a:noFill/>
            </a:ln>
            <a:effectLst/>
            <a:sp3d/>
          </c:spPr>
          <c:invertIfNegative val="0"/>
          <c:cat>
            <c:strRef>
              <c:f>'Product Perfomance Analysis '!$A$30:$A$39</c:f>
              <c:strCache>
                <c:ptCount val="10"/>
                <c:pt idx="0">
                  <c:v>Konka Healty Electric Kettle, 24-hour Heat Preservation,1.5L,800W, White</c:v>
                </c:pt>
                <c:pt idx="1">
                  <c:v>LASA Aluminum Folding Truck Hand Cart - 68kg Max</c:v>
                </c:pt>
                <c:pt idx="2">
                  <c:v>Portable Home Small Air Humidifier 3-Speed Fan - Green</c:v>
                </c:pt>
                <c:pt idx="3">
                  <c:v>DIY File Folder, Office Drawer File Holder, Pen Holder, Desktop Storage Rack</c:v>
                </c:pt>
                <c:pt idx="4">
                  <c:v>LASA FOLDING TABLE SERVING STAND</c:v>
                </c:pt>
                <c:pt idx="5">
                  <c:v>Bedroom Simple Floor Hanging Clothes Rack Single Pole Hat Rack - White</c:v>
                </c:pt>
                <c:pt idx="6">
                  <c:v>40cm Gold DIY Acrylic Wall Sticker Clock</c:v>
                </c:pt>
                <c:pt idx="7">
                  <c:v>Anti-Skid Absorbent Insulation Coaster  For Home Office</c:v>
                </c:pt>
                <c:pt idx="8">
                  <c:v>Peacock  Throw Pillow Cushion Case For Home Car</c:v>
                </c:pt>
                <c:pt idx="9">
                  <c:v>Classic Black Cat Cotton Hemp Pillow Case For Home Car</c:v>
                </c:pt>
              </c:strCache>
            </c:strRef>
          </c:cat>
          <c:val>
            <c:numRef>
              <c:f>'Product Perfomance Analysis '!$I$30:$I$39</c:f>
              <c:numCache>
                <c:formatCode>General</c:formatCode>
                <c:ptCount val="10"/>
                <c:pt idx="0">
                  <c:v>5</c:v>
                </c:pt>
                <c:pt idx="1">
                  <c:v>5</c:v>
                </c:pt>
                <c:pt idx="2">
                  <c:v>4.8</c:v>
                </c:pt>
                <c:pt idx="3">
                  <c:v>5</c:v>
                </c:pt>
                <c:pt idx="4">
                  <c:v>4.8</c:v>
                </c:pt>
                <c:pt idx="5">
                  <c:v>5</c:v>
                </c:pt>
                <c:pt idx="6">
                  <c:v>4.8</c:v>
                </c:pt>
                <c:pt idx="7">
                  <c:v>5</c:v>
                </c:pt>
                <c:pt idx="8">
                  <c:v>5</c:v>
                </c:pt>
                <c:pt idx="9">
                  <c:v>5</c:v>
                </c:pt>
              </c:numCache>
            </c:numRef>
          </c:val>
          <c:extLst>
            <c:ext xmlns:c16="http://schemas.microsoft.com/office/drawing/2014/chart" uri="{C3380CC4-5D6E-409C-BE32-E72D297353CC}">
              <c16:uniqueId val="{00000000-0AA7-4883-A721-4DA3C2BF2F07}"/>
            </c:ext>
          </c:extLst>
        </c:ser>
        <c:dLbls>
          <c:showLegendKey val="0"/>
          <c:showVal val="0"/>
          <c:showCatName val="0"/>
          <c:showSerName val="0"/>
          <c:showPercent val="0"/>
          <c:showBubbleSize val="0"/>
        </c:dLbls>
        <c:gapWidth val="150"/>
        <c:shape val="box"/>
        <c:axId val="557881551"/>
        <c:axId val="557886543"/>
        <c:axId val="0"/>
      </c:bar3DChart>
      <c:catAx>
        <c:axId val="55788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86543"/>
        <c:crosses val="autoZero"/>
        <c:auto val="1"/>
        <c:lblAlgn val="ctr"/>
        <c:lblOffset val="100"/>
        <c:noMultiLvlLbl val="0"/>
      </c:catAx>
      <c:valAx>
        <c:axId val="55788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8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Perfomance Analysis '!$H$16</c:f>
              <c:strCache>
                <c:ptCount val="1"/>
                <c:pt idx="0">
                  <c:v>Review</c:v>
                </c:pt>
              </c:strCache>
            </c:strRef>
          </c:tx>
          <c:spPr>
            <a:solidFill>
              <a:schemeClr val="accent6"/>
            </a:solidFill>
            <a:ln>
              <a:noFill/>
            </a:ln>
            <a:effectLst/>
            <a:sp3d/>
          </c:spPr>
          <c:invertIfNegative val="0"/>
          <c:cat>
            <c:strRef>
              <c:f>'Product Perfomance Analysis '!$A$17:$A$26</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'Product Perfomance Analysis '!$H$17:$H$26</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D467-4483-BBEA-57C7F180AECD}"/>
            </c:ext>
          </c:extLst>
        </c:ser>
        <c:dLbls>
          <c:showLegendKey val="0"/>
          <c:showVal val="0"/>
          <c:showCatName val="0"/>
          <c:showSerName val="0"/>
          <c:showPercent val="0"/>
          <c:showBubbleSize val="0"/>
        </c:dLbls>
        <c:gapWidth val="150"/>
        <c:shape val="box"/>
        <c:axId val="425407295"/>
        <c:axId val="425396895"/>
        <c:axId val="0"/>
      </c:bar3DChart>
      <c:catAx>
        <c:axId val="42540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96895"/>
        <c:crosses val="autoZero"/>
        <c:auto val="1"/>
        <c:lblAlgn val="ctr"/>
        <c:lblOffset val="100"/>
        <c:noMultiLvlLbl val="0"/>
      </c:catAx>
      <c:valAx>
        <c:axId val="425396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0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a:t>
            </a:r>
            <a:r>
              <a:rPr lang="en-US" b="1"/>
              <a:t>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Perfomance Analysis '!$I$29</c:f>
              <c:strCache>
                <c:ptCount val="1"/>
                <c:pt idx="0">
                  <c:v>Ratings</c:v>
                </c:pt>
              </c:strCache>
            </c:strRef>
          </c:tx>
          <c:spPr>
            <a:solidFill>
              <a:schemeClr val="accent6"/>
            </a:solidFill>
            <a:ln>
              <a:noFill/>
            </a:ln>
            <a:effectLst/>
            <a:sp3d/>
          </c:spPr>
          <c:invertIfNegative val="0"/>
          <c:cat>
            <c:strRef>
              <c:f>'Product Perfomance Analysis '!$A$30:$A$39</c:f>
              <c:strCache>
                <c:ptCount val="10"/>
                <c:pt idx="0">
                  <c:v>Konka Healty Electric Kettle, 24-hour Heat Preservation,1.5L,800W, White</c:v>
                </c:pt>
                <c:pt idx="1">
                  <c:v>LASA Aluminum Folding Truck Hand Cart - 68kg Max</c:v>
                </c:pt>
                <c:pt idx="2">
                  <c:v>Portable Home Small Air Humidifier 3-Speed Fan - Green</c:v>
                </c:pt>
                <c:pt idx="3">
                  <c:v>DIY File Folder, Office Drawer File Holder, Pen Holder, Desktop Storage Rack</c:v>
                </c:pt>
                <c:pt idx="4">
                  <c:v>LASA FOLDING TABLE SERVING STAND</c:v>
                </c:pt>
                <c:pt idx="5">
                  <c:v>Bedroom Simple Floor Hanging Clothes Rack Single Pole Hat Rack - White</c:v>
                </c:pt>
                <c:pt idx="6">
                  <c:v>40cm Gold DIY Acrylic Wall Sticker Clock</c:v>
                </c:pt>
                <c:pt idx="7">
                  <c:v>Anti-Skid Absorbent Insulation Coaster  For Home Office</c:v>
                </c:pt>
                <c:pt idx="8">
                  <c:v>Peacock  Throw Pillow Cushion Case For Home Car</c:v>
                </c:pt>
                <c:pt idx="9">
                  <c:v>Classic Black Cat Cotton Hemp Pillow Case For Home Car</c:v>
                </c:pt>
              </c:strCache>
            </c:strRef>
          </c:cat>
          <c:val>
            <c:numRef>
              <c:f>'Product Perfomance Analysis '!$I$30:$I$39</c:f>
              <c:numCache>
                <c:formatCode>General</c:formatCode>
                <c:ptCount val="10"/>
                <c:pt idx="0">
                  <c:v>5</c:v>
                </c:pt>
                <c:pt idx="1">
                  <c:v>5</c:v>
                </c:pt>
                <c:pt idx="2">
                  <c:v>4.8</c:v>
                </c:pt>
                <c:pt idx="3">
                  <c:v>5</c:v>
                </c:pt>
                <c:pt idx="4">
                  <c:v>4.8</c:v>
                </c:pt>
                <c:pt idx="5">
                  <c:v>5</c:v>
                </c:pt>
                <c:pt idx="6">
                  <c:v>4.8</c:v>
                </c:pt>
                <c:pt idx="7">
                  <c:v>5</c:v>
                </c:pt>
                <c:pt idx="8">
                  <c:v>5</c:v>
                </c:pt>
                <c:pt idx="9">
                  <c:v>5</c:v>
                </c:pt>
              </c:numCache>
            </c:numRef>
          </c:val>
          <c:extLst>
            <c:ext xmlns:c16="http://schemas.microsoft.com/office/drawing/2014/chart" uri="{C3380CC4-5D6E-409C-BE32-E72D297353CC}">
              <c16:uniqueId val="{00000000-12E5-4346-A856-D500D9676691}"/>
            </c:ext>
          </c:extLst>
        </c:ser>
        <c:dLbls>
          <c:showLegendKey val="0"/>
          <c:showVal val="0"/>
          <c:showCatName val="0"/>
          <c:showSerName val="0"/>
          <c:showPercent val="0"/>
          <c:showBubbleSize val="0"/>
        </c:dLbls>
        <c:gapWidth val="150"/>
        <c:shape val="box"/>
        <c:axId val="557881551"/>
        <c:axId val="557886543"/>
        <c:axId val="0"/>
      </c:bar3DChart>
      <c:catAx>
        <c:axId val="55788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86543"/>
        <c:crosses val="autoZero"/>
        <c:auto val="1"/>
        <c:lblAlgn val="ctr"/>
        <c:lblOffset val="100"/>
        <c:noMultiLvlLbl val="0"/>
      </c:catAx>
      <c:valAx>
        <c:axId val="55788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8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Perfomance Analysis '!$H$16</c:f>
              <c:strCache>
                <c:ptCount val="1"/>
                <c:pt idx="0">
                  <c:v>Review</c:v>
                </c:pt>
              </c:strCache>
            </c:strRef>
          </c:tx>
          <c:spPr>
            <a:solidFill>
              <a:schemeClr val="accent6"/>
            </a:solidFill>
            <a:ln>
              <a:noFill/>
            </a:ln>
            <a:effectLst/>
            <a:sp3d/>
          </c:spPr>
          <c:invertIfNegative val="0"/>
          <c:cat>
            <c:strRef>
              <c:f>'Product Perfomance Analysis '!$A$17:$A$26</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Agapeon Toothbrush Holder And Toothpaste Dispenser</c:v>
                </c:pt>
                <c:pt idx="9">
                  <c:v>VIC Wireless Vacuum Cleaner Dual Use For Home And Car 120W High Power Powerful</c:v>
                </c:pt>
              </c:strCache>
            </c:strRef>
          </c:cat>
          <c:val>
            <c:numRef>
              <c:f>'Product Perfomance Analysis '!$H$17:$H$26</c:f>
              <c:numCache>
                <c:formatCode>General</c:formatCode>
                <c:ptCount val="10"/>
                <c:pt idx="0">
                  <c:v>69</c:v>
                </c:pt>
                <c:pt idx="1">
                  <c:v>55</c:v>
                </c:pt>
                <c:pt idx="2">
                  <c:v>49</c:v>
                </c:pt>
                <c:pt idx="3">
                  <c:v>44</c:v>
                </c:pt>
                <c:pt idx="4">
                  <c:v>39</c:v>
                </c:pt>
                <c:pt idx="5">
                  <c:v>36</c:v>
                </c:pt>
                <c:pt idx="6">
                  <c:v>32</c:v>
                </c:pt>
                <c:pt idx="7">
                  <c:v>24</c:v>
                </c:pt>
                <c:pt idx="8">
                  <c:v>17</c:v>
                </c:pt>
                <c:pt idx="9">
                  <c:v>16</c:v>
                </c:pt>
              </c:numCache>
            </c:numRef>
          </c:val>
          <c:extLst>
            <c:ext xmlns:c16="http://schemas.microsoft.com/office/drawing/2014/chart" uri="{C3380CC4-5D6E-409C-BE32-E72D297353CC}">
              <c16:uniqueId val="{00000000-225E-46C2-A80F-9804B8D6C54D}"/>
            </c:ext>
          </c:extLst>
        </c:ser>
        <c:dLbls>
          <c:showLegendKey val="0"/>
          <c:showVal val="0"/>
          <c:showCatName val="0"/>
          <c:showSerName val="0"/>
          <c:showPercent val="0"/>
          <c:showBubbleSize val="0"/>
        </c:dLbls>
        <c:gapWidth val="150"/>
        <c:shape val="box"/>
        <c:axId val="425407295"/>
        <c:axId val="425396895"/>
        <c:axId val="0"/>
      </c:bar3DChart>
      <c:catAx>
        <c:axId val="42540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96895"/>
        <c:crosses val="autoZero"/>
        <c:auto val="1"/>
        <c:lblAlgn val="ctr"/>
        <c:lblOffset val="100"/>
        <c:noMultiLvlLbl val="0"/>
      </c:catAx>
      <c:valAx>
        <c:axId val="425396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0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Price</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hade val="65000"/>
            </a:schemeClr>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hade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Sheet4!$B$1</c:f>
              <c:strCache>
                <c:ptCount val="1"/>
                <c:pt idx="0">
                  <c:v>Total</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077-411D-8B36-8AAA8FDB1ADC}"/>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77-411D-8B36-8AAA8FDB1ADC}"/>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077-411D-8B36-8AAA8FDB1ADC}"/>
              </c:ext>
            </c:extLst>
          </c:dPt>
          <c:cat>
            <c:strRef>
              <c:f>Sheet4!$A$2:$A$5</c:f>
              <c:strCache>
                <c:ptCount val="3"/>
                <c:pt idx="0">
                  <c:v>Average</c:v>
                </c:pt>
                <c:pt idx="1">
                  <c:v>Excellent</c:v>
                </c:pt>
                <c:pt idx="2">
                  <c:v>Poor</c:v>
                </c:pt>
              </c:strCache>
            </c:strRef>
          </c:cat>
          <c:val>
            <c:numRef>
              <c:f>Sheet4!$B$2:$B$5</c:f>
              <c:numCache>
                <c:formatCode>General</c:formatCode>
                <c:ptCount val="3"/>
                <c:pt idx="0">
                  <c:v>22</c:v>
                </c:pt>
                <c:pt idx="1">
                  <c:v>23</c:v>
                </c:pt>
                <c:pt idx="2">
                  <c:v>67</c:v>
                </c:pt>
              </c:numCache>
            </c:numRef>
          </c:val>
          <c:extLst>
            <c:ext xmlns:c16="http://schemas.microsoft.com/office/drawing/2014/chart" uri="{C3380CC4-5D6E-409C-BE32-E72D297353CC}">
              <c16:uniqueId val="{00000006-4077-411D-8B36-8AAA8FDB1AD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new.xlsx]Sheet4!PivotTable10</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Sheet4!$B$7</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48C5-4A87-8CE3-1517E876548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48C5-4A87-8CE3-1517E876548D}"/>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48C5-4A87-8CE3-1517E876548D}"/>
              </c:ext>
            </c:extLst>
          </c:dPt>
          <c:cat>
            <c:strRef>
              <c:f>Sheet4!$A$8:$A$11</c:f>
              <c:strCache>
                <c:ptCount val="3"/>
                <c:pt idx="0">
                  <c:v>High Discount</c:v>
                </c:pt>
                <c:pt idx="1">
                  <c:v>Low Discount</c:v>
                </c:pt>
                <c:pt idx="2">
                  <c:v>Medium Discount</c:v>
                </c:pt>
              </c:strCache>
            </c:strRef>
          </c:cat>
          <c:val>
            <c:numRef>
              <c:f>Sheet4!$B$8:$B$11</c:f>
              <c:numCache>
                <c:formatCode>General</c:formatCode>
                <c:ptCount val="3"/>
                <c:pt idx="0">
                  <c:v>62</c:v>
                </c:pt>
                <c:pt idx="1">
                  <c:v>18</c:v>
                </c:pt>
                <c:pt idx="2">
                  <c:v>32</c:v>
                </c:pt>
              </c:numCache>
            </c:numRef>
          </c:val>
          <c:extLst>
            <c:ext xmlns:c16="http://schemas.microsoft.com/office/drawing/2014/chart" uri="{C3380CC4-5D6E-409C-BE32-E72D297353CC}">
              <c16:uniqueId val="{00000006-48C5-4A87-8CE3-1517E87654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Category by Review</a:t>
            </a:r>
            <a:endParaRPr lang="en-US"/>
          </a:p>
        </c:rich>
      </c:tx>
      <c:layout>
        <c:manualLayout>
          <c:xMode val="edge"/>
          <c:yMode val="edge"/>
          <c:x val="0.3402221799077351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Sheet4!$B$25</c:f>
              <c:strCache>
                <c:ptCount val="1"/>
                <c:pt idx="0">
                  <c:v>Total</c:v>
                </c:pt>
              </c:strCache>
            </c:strRef>
          </c:tx>
          <c:spPr>
            <a:solidFill>
              <a:schemeClr val="accent6"/>
            </a:solidFill>
            <a:ln>
              <a:noFill/>
            </a:ln>
            <a:effectLst/>
          </c:spPr>
          <c:invertIfNegative val="0"/>
          <c:cat>
            <c:strRef>
              <c:f>Sheet4!$A$26:$A$29</c:f>
              <c:strCache>
                <c:ptCount val="3"/>
                <c:pt idx="0">
                  <c:v>High Discount</c:v>
                </c:pt>
                <c:pt idx="1">
                  <c:v>Low Discount</c:v>
                </c:pt>
                <c:pt idx="2">
                  <c:v>Medium Discount</c:v>
                </c:pt>
              </c:strCache>
            </c:strRef>
          </c:cat>
          <c:val>
            <c:numRef>
              <c:f>Sheet4!$B$26:$B$29</c:f>
              <c:numCache>
                <c:formatCode>General</c:formatCode>
                <c:ptCount val="3"/>
                <c:pt idx="0">
                  <c:v>325</c:v>
                </c:pt>
                <c:pt idx="1">
                  <c:v>38</c:v>
                </c:pt>
                <c:pt idx="2">
                  <c:v>315</c:v>
                </c:pt>
              </c:numCache>
            </c:numRef>
          </c:val>
          <c:extLst>
            <c:ext xmlns:c16="http://schemas.microsoft.com/office/drawing/2014/chart" uri="{C3380CC4-5D6E-409C-BE32-E72D297353CC}">
              <c16:uniqueId val="{00000000-52EC-4F69-B32A-DF527C119D36}"/>
            </c:ext>
          </c:extLst>
        </c:ser>
        <c:dLbls>
          <c:showLegendKey val="0"/>
          <c:showVal val="0"/>
          <c:showCatName val="0"/>
          <c:showSerName val="0"/>
          <c:showPercent val="0"/>
          <c:showBubbleSize val="0"/>
        </c:dLbls>
        <c:gapWidth val="150"/>
        <c:overlap val="100"/>
        <c:axId val="620917007"/>
        <c:axId val="620926159"/>
      </c:barChart>
      <c:catAx>
        <c:axId val="62091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26159"/>
        <c:crosses val="autoZero"/>
        <c:auto val="1"/>
        <c:lblAlgn val="ctr"/>
        <c:lblOffset val="100"/>
        <c:noMultiLvlLbl val="0"/>
      </c:catAx>
      <c:valAx>
        <c:axId val="62092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 new.xlsx]Sheet4!PivotTable14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Category by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Sheet4!$B$19</c:f>
              <c:strCache>
                <c:ptCount val="1"/>
                <c:pt idx="0">
                  <c:v>Total</c:v>
                </c:pt>
              </c:strCache>
            </c:strRef>
          </c:tx>
          <c:spPr>
            <a:solidFill>
              <a:schemeClr val="accent6"/>
            </a:solidFill>
            <a:ln>
              <a:noFill/>
            </a:ln>
            <a:effectLst/>
            <a:sp3d/>
          </c:spPr>
          <c:invertIfNegative val="0"/>
          <c:cat>
            <c:strRef>
              <c:f>Sheet4!$A$20:$A$23</c:f>
              <c:strCache>
                <c:ptCount val="3"/>
                <c:pt idx="0">
                  <c:v>High Price</c:v>
                </c:pt>
                <c:pt idx="1">
                  <c:v>Low Price</c:v>
                </c:pt>
                <c:pt idx="2">
                  <c:v>Medium Price</c:v>
                </c:pt>
              </c:strCache>
            </c:strRef>
          </c:cat>
          <c:val>
            <c:numRef>
              <c:f>Sheet4!$B$20:$B$23</c:f>
              <c:numCache>
                <c:formatCode>General</c:formatCode>
                <c:ptCount val="3"/>
                <c:pt idx="0">
                  <c:v>46.5</c:v>
                </c:pt>
                <c:pt idx="1">
                  <c:v>107.29999999999998</c:v>
                </c:pt>
                <c:pt idx="2">
                  <c:v>67.899999999999991</c:v>
                </c:pt>
              </c:numCache>
            </c:numRef>
          </c:val>
          <c:extLst>
            <c:ext xmlns:c16="http://schemas.microsoft.com/office/drawing/2014/chart" uri="{C3380CC4-5D6E-409C-BE32-E72D297353CC}">
              <c16:uniqueId val="{00000000-6D9C-433C-8AC1-88B85801793B}"/>
            </c:ext>
          </c:extLst>
        </c:ser>
        <c:dLbls>
          <c:showLegendKey val="0"/>
          <c:showVal val="0"/>
          <c:showCatName val="0"/>
          <c:showSerName val="0"/>
          <c:showPercent val="0"/>
          <c:showBubbleSize val="0"/>
        </c:dLbls>
        <c:gapWidth val="150"/>
        <c:shape val="box"/>
        <c:axId val="730040127"/>
        <c:axId val="730053023"/>
        <c:axId val="0"/>
      </c:bar3DChart>
      <c:catAx>
        <c:axId val="73004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53023"/>
        <c:crosses val="autoZero"/>
        <c:auto val="1"/>
        <c:lblAlgn val="ctr"/>
        <c:lblOffset val="100"/>
        <c:noMultiLvlLbl val="0"/>
      </c:catAx>
      <c:valAx>
        <c:axId val="7300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04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and Reviews Trends</a:t>
            </a:r>
            <a:endParaRPr lang="en-US"/>
          </a:p>
        </c:rich>
      </c:tx>
      <c:layout>
        <c:manualLayout>
          <c:xMode val="edge"/>
          <c:yMode val="edge"/>
          <c:x val="0.4407012248468941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 '!$H$1</c:f>
              <c:strCache>
                <c:ptCount val="1"/>
                <c:pt idx="0">
                  <c:v>Review</c:v>
                </c:pt>
              </c:strCache>
            </c:strRef>
          </c:tx>
          <c:spPr>
            <a:ln w="19050" cap="rnd" cmpd="sng" algn="ctr">
              <a:noFill/>
              <a:prstDash val="solid"/>
              <a:round/>
            </a:ln>
            <a:effectLst/>
          </c:spPr>
          <c:marker>
            <c:symbol val="circle"/>
            <c:size val="5"/>
            <c:spPr>
              <a:solidFill>
                <a:schemeClr val="accent6"/>
              </a:solidFill>
              <a:ln w="6350" cap="flat" cmpd="sng" algn="ctr">
                <a:solidFill>
                  <a:schemeClr val="accent6"/>
                </a:solidFill>
                <a:prstDash val="solid"/>
                <a:round/>
              </a:ln>
              <a:effectLst/>
            </c:spPr>
          </c:marker>
          <c:xVal>
            <c:numRef>
              <c:f>'Cleaned_data '!$F$2:$F$116</c:f>
              <c:numCache>
                <c:formatCode>0%</c:formatCode>
                <c:ptCount val="115"/>
                <c:pt idx="0">
                  <c:v>0.54</c:v>
                </c:pt>
                <c:pt idx="1">
                  <c:v>0.39</c:v>
                </c:pt>
                <c:pt idx="2">
                  <c:v>0.28999999999999998</c:v>
                </c:pt>
                <c:pt idx="3">
                  <c:v>0.18</c:v>
                </c:pt>
                <c:pt idx="4">
                  <c:v>0.09</c:v>
                </c:pt>
                <c:pt idx="5">
                  <c:v>0.49</c:v>
                </c:pt>
                <c:pt idx="6">
                  <c:v>0.25</c:v>
                </c:pt>
                <c:pt idx="7">
                  <c:v>0.24</c:v>
                </c:pt>
                <c:pt idx="8">
                  <c:v>0.21</c:v>
                </c:pt>
                <c:pt idx="9">
                  <c:v>0.19</c:v>
                </c:pt>
                <c:pt idx="10">
                  <c:v>0.55000000000000004</c:v>
                </c:pt>
                <c:pt idx="11">
                  <c:v>0.46</c:v>
                </c:pt>
                <c:pt idx="12">
                  <c:v>0.38</c:v>
                </c:pt>
                <c:pt idx="13">
                  <c:v>0.27</c:v>
                </c:pt>
                <c:pt idx="14">
                  <c:v>0.13</c:v>
                </c:pt>
                <c:pt idx="15">
                  <c:v>0.04</c:v>
                </c:pt>
                <c:pt idx="16">
                  <c:v>0.02</c:v>
                </c:pt>
                <c:pt idx="17">
                  <c:v>0.54</c:v>
                </c:pt>
                <c:pt idx="18">
                  <c:v>0.53</c:v>
                </c:pt>
                <c:pt idx="19">
                  <c:v>0.52</c:v>
                </c:pt>
                <c:pt idx="20">
                  <c:v>0.49</c:v>
                </c:pt>
                <c:pt idx="21">
                  <c:v>0.47</c:v>
                </c:pt>
                <c:pt idx="22">
                  <c:v>0.43</c:v>
                </c:pt>
                <c:pt idx="23">
                  <c:v>0.41</c:v>
                </c:pt>
                <c:pt idx="24">
                  <c:v>0.37</c:v>
                </c:pt>
                <c:pt idx="25">
                  <c:v>0.35</c:v>
                </c:pt>
                <c:pt idx="26">
                  <c:v>0.2</c:v>
                </c:pt>
                <c:pt idx="27">
                  <c:v>0.53</c:v>
                </c:pt>
                <c:pt idx="28">
                  <c:v>0.51</c:v>
                </c:pt>
                <c:pt idx="29">
                  <c:v>0.49</c:v>
                </c:pt>
                <c:pt idx="30">
                  <c:v>0.49</c:v>
                </c:pt>
                <c:pt idx="31">
                  <c:v>0.47</c:v>
                </c:pt>
                <c:pt idx="32">
                  <c:v>0.46</c:v>
                </c:pt>
                <c:pt idx="33">
                  <c:v>0.42</c:v>
                </c:pt>
                <c:pt idx="34">
                  <c:v>0.38</c:v>
                </c:pt>
                <c:pt idx="35">
                  <c:v>0.35</c:v>
                </c:pt>
                <c:pt idx="36">
                  <c:v>0.34</c:v>
                </c:pt>
                <c:pt idx="37">
                  <c:v>0.34</c:v>
                </c:pt>
                <c:pt idx="38">
                  <c:v>0.64</c:v>
                </c:pt>
                <c:pt idx="39">
                  <c:v>0.61</c:v>
                </c:pt>
                <c:pt idx="40">
                  <c:v>0.55000000000000004</c:v>
                </c:pt>
                <c:pt idx="41">
                  <c:v>0.52</c:v>
                </c:pt>
                <c:pt idx="42">
                  <c:v>0.5</c:v>
                </c:pt>
                <c:pt idx="43">
                  <c:v>0.5</c:v>
                </c:pt>
                <c:pt idx="44">
                  <c:v>0.5</c:v>
                </c:pt>
                <c:pt idx="45">
                  <c:v>0.5</c:v>
                </c:pt>
                <c:pt idx="46">
                  <c:v>0.5</c:v>
                </c:pt>
                <c:pt idx="47">
                  <c:v>0.49</c:v>
                </c:pt>
                <c:pt idx="48">
                  <c:v>0.49</c:v>
                </c:pt>
                <c:pt idx="49">
                  <c:v>0.49</c:v>
                </c:pt>
                <c:pt idx="50">
                  <c:v>0.49</c:v>
                </c:pt>
                <c:pt idx="51">
                  <c:v>0.49</c:v>
                </c:pt>
                <c:pt idx="52">
                  <c:v>0.49</c:v>
                </c:pt>
                <c:pt idx="53">
                  <c:v>0.49</c:v>
                </c:pt>
                <c:pt idx="54">
                  <c:v>0.49</c:v>
                </c:pt>
                <c:pt idx="55">
                  <c:v>0.49</c:v>
                </c:pt>
                <c:pt idx="56">
                  <c:v>0.49</c:v>
                </c:pt>
                <c:pt idx="57">
                  <c:v>0.48</c:v>
                </c:pt>
                <c:pt idx="58">
                  <c:v>0.48</c:v>
                </c:pt>
                <c:pt idx="59">
                  <c:v>0.47</c:v>
                </c:pt>
                <c:pt idx="60">
                  <c:v>0.47</c:v>
                </c:pt>
                <c:pt idx="61">
                  <c:v>0.47</c:v>
                </c:pt>
                <c:pt idx="62">
                  <c:v>0.47</c:v>
                </c:pt>
                <c:pt idx="63">
                  <c:v>0.45</c:v>
                </c:pt>
                <c:pt idx="64">
                  <c:v>0.45</c:v>
                </c:pt>
                <c:pt idx="65">
                  <c:v>0.45</c:v>
                </c:pt>
                <c:pt idx="66">
                  <c:v>0.43</c:v>
                </c:pt>
                <c:pt idx="67">
                  <c:v>0.43</c:v>
                </c:pt>
                <c:pt idx="68">
                  <c:v>0.43</c:v>
                </c:pt>
                <c:pt idx="69">
                  <c:v>0.42</c:v>
                </c:pt>
                <c:pt idx="70">
                  <c:v>0.41</c:v>
                </c:pt>
                <c:pt idx="71">
                  <c:v>0.24</c:v>
                </c:pt>
                <c:pt idx="72">
                  <c:v>0.22</c:v>
                </c:pt>
                <c:pt idx="73">
                  <c:v>0.11</c:v>
                </c:pt>
                <c:pt idx="74">
                  <c:v>0.48</c:v>
                </c:pt>
                <c:pt idx="75">
                  <c:v>0.46</c:v>
                </c:pt>
                <c:pt idx="76">
                  <c:v>0.45</c:v>
                </c:pt>
                <c:pt idx="77">
                  <c:v>0.33</c:v>
                </c:pt>
                <c:pt idx="78">
                  <c:v>0.32</c:v>
                </c:pt>
                <c:pt idx="79">
                  <c:v>0.3</c:v>
                </c:pt>
                <c:pt idx="80">
                  <c:v>0.23</c:v>
                </c:pt>
                <c:pt idx="81">
                  <c:v>0.55000000000000004</c:v>
                </c:pt>
                <c:pt idx="82">
                  <c:v>0.4</c:v>
                </c:pt>
                <c:pt idx="83">
                  <c:v>0.38</c:v>
                </c:pt>
                <c:pt idx="84">
                  <c:v>0.37</c:v>
                </c:pt>
                <c:pt idx="85">
                  <c:v>0.27</c:v>
                </c:pt>
                <c:pt idx="86">
                  <c:v>0.27</c:v>
                </c:pt>
                <c:pt idx="87">
                  <c:v>0.26</c:v>
                </c:pt>
                <c:pt idx="88">
                  <c:v>0.5</c:v>
                </c:pt>
                <c:pt idx="89">
                  <c:v>0.5</c:v>
                </c:pt>
                <c:pt idx="90">
                  <c:v>0.48</c:v>
                </c:pt>
                <c:pt idx="91">
                  <c:v>0.47</c:v>
                </c:pt>
                <c:pt idx="92">
                  <c:v>0.42</c:v>
                </c:pt>
                <c:pt idx="93">
                  <c:v>0.42</c:v>
                </c:pt>
                <c:pt idx="94">
                  <c:v>0.41</c:v>
                </c:pt>
                <c:pt idx="95">
                  <c:v>0.38</c:v>
                </c:pt>
                <c:pt idx="96">
                  <c:v>0.36</c:v>
                </c:pt>
                <c:pt idx="97">
                  <c:v>0.34</c:v>
                </c:pt>
                <c:pt idx="98">
                  <c:v>0.34</c:v>
                </c:pt>
                <c:pt idx="99">
                  <c:v>0.33</c:v>
                </c:pt>
                <c:pt idx="100">
                  <c:v>0.22</c:v>
                </c:pt>
                <c:pt idx="101">
                  <c:v>0.14000000000000001</c:v>
                </c:pt>
                <c:pt idx="102">
                  <c:v>0.14000000000000001</c:v>
                </c:pt>
                <c:pt idx="103">
                  <c:v>0.08</c:v>
                </c:pt>
                <c:pt idx="104">
                  <c:v>0.04</c:v>
                </c:pt>
                <c:pt idx="105">
                  <c:v>0.03</c:v>
                </c:pt>
                <c:pt idx="106">
                  <c:v>0.02</c:v>
                </c:pt>
                <c:pt idx="107">
                  <c:v>0.02</c:v>
                </c:pt>
                <c:pt idx="108">
                  <c:v>0.02</c:v>
                </c:pt>
                <c:pt idx="109">
                  <c:v>0.02</c:v>
                </c:pt>
                <c:pt idx="110">
                  <c:v>0.02</c:v>
                </c:pt>
                <c:pt idx="111">
                  <c:v>0.01</c:v>
                </c:pt>
              </c:numCache>
            </c:numRef>
          </c:xVal>
          <c:yVal>
            <c:numRef>
              <c:f>'Cleaned_data '!$H$2:$H$116</c:f>
              <c:numCache>
                <c:formatCode>General</c:formatCode>
                <c:ptCount val="115"/>
                <c:pt idx="0">
                  <c:v>7</c:v>
                </c:pt>
                <c:pt idx="1">
                  <c:v>5</c:v>
                </c:pt>
                <c:pt idx="2">
                  <c:v>5</c:v>
                </c:pt>
                <c:pt idx="3">
                  <c:v>12</c:v>
                </c:pt>
                <c:pt idx="4">
                  <c:v>15</c:v>
                </c:pt>
                <c:pt idx="5">
                  <c:v>3</c:v>
                </c:pt>
                <c:pt idx="6">
                  <c:v>24</c:v>
                </c:pt>
                <c:pt idx="7">
                  <c:v>55</c:v>
                </c:pt>
                <c:pt idx="8">
                  <c:v>1</c:v>
                </c:pt>
                <c:pt idx="9">
                  <c:v>5</c:v>
                </c:pt>
                <c:pt idx="10">
                  <c:v>13</c:v>
                </c:pt>
                <c:pt idx="14">
                  <c:v>6</c:v>
                </c:pt>
                <c:pt idx="17">
                  <c:v>1</c:v>
                </c:pt>
                <c:pt idx="18">
                  <c:v>13</c:v>
                </c:pt>
                <c:pt idx="19">
                  <c:v>9</c:v>
                </c:pt>
                <c:pt idx="20">
                  <c:v>1</c:v>
                </c:pt>
                <c:pt idx="21">
                  <c:v>14</c:v>
                </c:pt>
                <c:pt idx="22">
                  <c:v>5</c:v>
                </c:pt>
                <c:pt idx="23">
                  <c:v>36</c:v>
                </c:pt>
                <c:pt idx="24">
                  <c:v>2</c:v>
                </c:pt>
                <c:pt idx="25">
                  <c:v>6</c:v>
                </c:pt>
                <c:pt idx="26">
                  <c:v>12</c:v>
                </c:pt>
                <c:pt idx="27">
                  <c:v>2</c:v>
                </c:pt>
                <c:pt idx="28">
                  <c:v>2</c:v>
                </c:pt>
                <c:pt idx="29">
                  <c:v>44</c:v>
                </c:pt>
                <c:pt idx="30">
                  <c:v>1</c:v>
                </c:pt>
                <c:pt idx="31">
                  <c:v>12</c:v>
                </c:pt>
                <c:pt idx="32">
                  <c:v>2</c:v>
                </c:pt>
                <c:pt idx="33">
                  <c:v>6</c:v>
                </c:pt>
                <c:pt idx="34">
                  <c:v>2</c:v>
                </c:pt>
                <c:pt idx="35">
                  <c:v>49</c:v>
                </c:pt>
                <c:pt idx="36">
                  <c:v>39</c:v>
                </c:pt>
                <c:pt idx="37">
                  <c:v>12</c:v>
                </c:pt>
                <c:pt idx="41">
                  <c:v>15</c:v>
                </c:pt>
                <c:pt idx="44">
                  <c:v>1</c:v>
                </c:pt>
                <c:pt idx="52">
                  <c:v>69</c:v>
                </c:pt>
                <c:pt idx="59">
                  <c:v>6</c:v>
                </c:pt>
                <c:pt idx="63">
                  <c:v>6</c:v>
                </c:pt>
                <c:pt idx="65">
                  <c:v>17</c:v>
                </c:pt>
                <c:pt idx="68">
                  <c:v>6</c:v>
                </c:pt>
                <c:pt idx="74">
                  <c:v>9</c:v>
                </c:pt>
                <c:pt idx="75">
                  <c:v>1</c:v>
                </c:pt>
                <c:pt idx="76">
                  <c:v>5</c:v>
                </c:pt>
                <c:pt idx="77">
                  <c:v>9</c:v>
                </c:pt>
                <c:pt idx="78">
                  <c:v>13</c:v>
                </c:pt>
                <c:pt idx="79">
                  <c:v>2</c:v>
                </c:pt>
                <c:pt idx="80">
                  <c:v>14</c:v>
                </c:pt>
                <c:pt idx="81">
                  <c:v>5</c:v>
                </c:pt>
                <c:pt idx="82">
                  <c:v>1</c:v>
                </c:pt>
                <c:pt idx="83">
                  <c:v>2</c:v>
                </c:pt>
                <c:pt idx="84">
                  <c:v>7</c:v>
                </c:pt>
                <c:pt idx="85">
                  <c:v>32</c:v>
                </c:pt>
                <c:pt idx="86">
                  <c:v>2</c:v>
                </c:pt>
                <c:pt idx="87">
                  <c:v>5</c:v>
                </c:pt>
                <c:pt idx="89">
                  <c:v>7</c:v>
                </c:pt>
                <c:pt idx="91">
                  <c:v>7</c:v>
                </c:pt>
                <c:pt idx="100">
                  <c:v>16</c:v>
                </c:pt>
              </c:numCache>
            </c:numRef>
          </c:yVal>
          <c:smooth val="0"/>
          <c:extLst>
            <c:ext xmlns:c16="http://schemas.microsoft.com/office/drawing/2014/chart" uri="{C3380CC4-5D6E-409C-BE32-E72D297353CC}">
              <c16:uniqueId val="{00000000-4E96-43FB-97E8-C287E453C2A8}"/>
            </c:ext>
          </c:extLst>
        </c:ser>
        <c:dLbls>
          <c:showLegendKey val="0"/>
          <c:showVal val="0"/>
          <c:showCatName val="0"/>
          <c:showSerName val="0"/>
          <c:showPercent val="0"/>
          <c:showBubbleSize val="0"/>
        </c:dLbls>
        <c:axId val="557837039"/>
        <c:axId val="557832463"/>
      </c:scatterChart>
      <c:valAx>
        <c:axId val="557837039"/>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2463"/>
        <c:crosses val="autoZero"/>
        <c:crossBetween val="midCat"/>
      </c:valAx>
      <c:valAx>
        <c:axId val="55783246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7039"/>
        <c:crosses val="autoZero"/>
        <c:crossBetween val="midCat"/>
      </c:valAx>
      <c:spPr>
        <a:solidFill>
          <a:schemeClr val="bg1"/>
        </a:solid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Pricing and Ratings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 '!$I$1</c:f>
              <c:strCache>
                <c:ptCount val="1"/>
                <c:pt idx="0">
                  <c:v>Ratings</c:v>
                </c:pt>
              </c:strCache>
            </c:strRef>
          </c:tx>
          <c:spPr>
            <a:ln w="19050" cap="rnd">
              <a:noFill/>
              <a:round/>
            </a:ln>
            <a:effectLst/>
          </c:spPr>
          <c:marker>
            <c:symbol val="circle"/>
            <c:size val="5"/>
            <c:spPr>
              <a:solidFill>
                <a:schemeClr val="accent6"/>
              </a:solidFill>
              <a:ln w="9525">
                <a:solidFill>
                  <a:schemeClr val="accent6"/>
                </a:solidFill>
              </a:ln>
              <a:effectLst/>
            </c:spPr>
          </c:marker>
          <c:xVal>
            <c:strRef>
              <c:f>'Cleaned_data '!$D$2:$D$116</c:f>
              <c:strCache>
                <c:ptCount val="112"/>
                <c:pt idx="0">
                  <c:v>High Price</c:v>
                </c:pt>
                <c:pt idx="1">
                  <c:v>High Price</c:v>
                </c:pt>
                <c:pt idx="2">
                  <c:v>High Price</c:v>
                </c:pt>
                <c:pt idx="3">
                  <c:v>High Price</c:v>
                </c:pt>
                <c:pt idx="4">
                  <c:v>High Price</c:v>
                </c:pt>
                <c:pt idx="5">
                  <c:v>High Price</c:v>
                </c:pt>
                <c:pt idx="6">
                  <c:v>High Price</c:v>
                </c:pt>
                <c:pt idx="7">
                  <c:v>High Price</c:v>
                </c:pt>
                <c:pt idx="8">
                  <c:v>High Price</c:v>
                </c:pt>
                <c:pt idx="9">
                  <c:v>High Price</c:v>
                </c:pt>
                <c:pt idx="10">
                  <c:v>High Price</c:v>
                </c:pt>
                <c:pt idx="11">
                  <c:v>High Price</c:v>
                </c:pt>
                <c:pt idx="12">
                  <c:v>High Price</c:v>
                </c:pt>
                <c:pt idx="13">
                  <c:v>High Price</c:v>
                </c:pt>
                <c:pt idx="14">
                  <c:v>High Price</c:v>
                </c:pt>
                <c:pt idx="15">
                  <c:v>High Price</c:v>
                </c:pt>
                <c:pt idx="16">
                  <c:v>High Price</c:v>
                </c:pt>
                <c:pt idx="17">
                  <c:v>Low Price</c:v>
                </c:pt>
                <c:pt idx="18">
                  <c:v>Low Price</c:v>
                </c:pt>
                <c:pt idx="19">
                  <c:v>Low Price</c:v>
                </c:pt>
                <c:pt idx="20">
                  <c:v>Low Price</c:v>
                </c:pt>
                <c:pt idx="21">
                  <c:v>Low Price</c:v>
                </c:pt>
                <c:pt idx="22">
                  <c:v>Low Price</c:v>
                </c:pt>
                <c:pt idx="23">
                  <c:v>Low Price</c:v>
                </c:pt>
                <c:pt idx="24">
                  <c:v>Low Price</c:v>
                </c:pt>
                <c:pt idx="25">
                  <c:v>Low Price</c:v>
                </c:pt>
                <c:pt idx="26">
                  <c:v>Low Price</c:v>
                </c:pt>
                <c:pt idx="27">
                  <c:v>Low Price</c:v>
                </c:pt>
                <c:pt idx="28">
                  <c:v>Low Price</c:v>
                </c:pt>
                <c:pt idx="29">
                  <c:v>Low Price</c:v>
                </c:pt>
                <c:pt idx="30">
                  <c:v>Low Price</c:v>
                </c:pt>
                <c:pt idx="31">
                  <c:v>Low Price</c:v>
                </c:pt>
                <c:pt idx="32">
                  <c:v>Low Price</c:v>
                </c:pt>
                <c:pt idx="33">
                  <c:v>Low Price</c:v>
                </c:pt>
                <c:pt idx="34">
                  <c:v>Low Price</c:v>
                </c:pt>
                <c:pt idx="35">
                  <c:v>Low Price</c:v>
                </c:pt>
                <c:pt idx="36">
                  <c:v>Low Price</c:v>
                </c:pt>
                <c:pt idx="37">
                  <c:v>Low Price</c:v>
                </c:pt>
                <c:pt idx="38">
                  <c:v>Low Price</c:v>
                </c:pt>
                <c:pt idx="39">
                  <c:v>Low Price</c:v>
                </c:pt>
                <c:pt idx="40">
                  <c:v>Low Price</c:v>
                </c:pt>
                <c:pt idx="41">
                  <c:v>Low Price</c:v>
                </c:pt>
                <c:pt idx="42">
                  <c:v>Low Price</c:v>
                </c:pt>
                <c:pt idx="43">
                  <c:v>Low Price</c:v>
                </c:pt>
                <c:pt idx="44">
                  <c:v>Low Price</c:v>
                </c:pt>
                <c:pt idx="45">
                  <c:v>Low Price</c:v>
                </c:pt>
                <c:pt idx="46">
                  <c:v>Low Price</c:v>
                </c:pt>
                <c:pt idx="47">
                  <c:v>Low Price</c:v>
                </c:pt>
                <c:pt idx="48">
                  <c:v>Low Price</c:v>
                </c:pt>
                <c:pt idx="49">
                  <c:v>Low Price</c:v>
                </c:pt>
                <c:pt idx="50">
                  <c:v>Low Price</c:v>
                </c:pt>
                <c:pt idx="51">
                  <c:v>Low Price</c:v>
                </c:pt>
                <c:pt idx="52">
                  <c:v>Low Price</c:v>
                </c:pt>
                <c:pt idx="53">
                  <c:v>Low Price</c:v>
                </c:pt>
                <c:pt idx="54">
                  <c:v>Low Price</c:v>
                </c:pt>
                <c:pt idx="55">
                  <c:v>Low Price</c:v>
                </c:pt>
                <c:pt idx="56">
                  <c:v>Low Price</c:v>
                </c:pt>
                <c:pt idx="57">
                  <c:v>Low Price</c:v>
                </c:pt>
                <c:pt idx="58">
                  <c:v>Low Price</c:v>
                </c:pt>
                <c:pt idx="59">
                  <c:v>Low Price</c:v>
                </c:pt>
                <c:pt idx="60">
                  <c:v>Low Price</c:v>
                </c:pt>
                <c:pt idx="61">
                  <c:v>Low Price</c:v>
                </c:pt>
                <c:pt idx="62">
                  <c:v>Low Price</c:v>
                </c:pt>
                <c:pt idx="63">
                  <c:v>Low Price</c:v>
                </c:pt>
                <c:pt idx="64">
                  <c:v>Low Price</c:v>
                </c:pt>
                <c:pt idx="65">
                  <c:v>Low Price</c:v>
                </c:pt>
                <c:pt idx="66">
                  <c:v>Low Price</c:v>
                </c:pt>
                <c:pt idx="67">
                  <c:v>Low Price</c:v>
                </c:pt>
                <c:pt idx="68">
                  <c:v>Low Price</c:v>
                </c:pt>
                <c:pt idx="69">
                  <c:v>Low Price</c:v>
                </c:pt>
                <c:pt idx="70">
                  <c:v>Low Price</c:v>
                </c:pt>
                <c:pt idx="71">
                  <c:v>Low Price</c:v>
                </c:pt>
                <c:pt idx="72">
                  <c:v>Low Price</c:v>
                </c:pt>
                <c:pt idx="73">
                  <c:v>Low Price</c:v>
                </c:pt>
                <c:pt idx="74">
                  <c:v>Medium Price</c:v>
                </c:pt>
                <c:pt idx="75">
                  <c:v>Medium Price</c:v>
                </c:pt>
                <c:pt idx="76">
                  <c:v>Medium Price</c:v>
                </c:pt>
                <c:pt idx="77">
                  <c:v>Medium Price</c:v>
                </c:pt>
                <c:pt idx="78">
                  <c:v>Medium Price</c:v>
                </c:pt>
                <c:pt idx="79">
                  <c:v>Medium Price</c:v>
                </c:pt>
                <c:pt idx="80">
                  <c:v>Medium Price</c:v>
                </c:pt>
                <c:pt idx="81">
                  <c:v>Medium Price</c:v>
                </c:pt>
                <c:pt idx="82">
                  <c:v>Medium Price</c:v>
                </c:pt>
                <c:pt idx="83">
                  <c:v>Medium Price</c:v>
                </c:pt>
                <c:pt idx="84">
                  <c:v>Medium Price</c:v>
                </c:pt>
                <c:pt idx="85">
                  <c:v>Medium Price</c:v>
                </c:pt>
                <c:pt idx="86">
                  <c:v>Medium Price</c:v>
                </c:pt>
                <c:pt idx="87">
                  <c:v>Medium Price</c:v>
                </c:pt>
                <c:pt idx="88">
                  <c:v>Medium Price</c:v>
                </c:pt>
                <c:pt idx="89">
                  <c:v>Medium Price</c:v>
                </c:pt>
                <c:pt idx="90">
                  <c:v>Medium Price</c:v>
                </c:pt>
                <c:pt idx="91">
                  <c:v>Medium Price</c:v>
                </c:pt>
                <c:pt idx="92">
                  <c:v>Medium Price</c:v>
                </c:pt>
                <c:pt idx="93">
                  <c:v>Medium Price</c:v>
                </c:pt>
                <c:pt idx="94">
                  <c:v>Medium Price</c:v>
                </c:pt>
                <c:pt idx="95">
                  <c:v>Medium Price</c:v>
                </c:pt>
                <c:pt idx="96">
                  <c:v>Medium Price</c:v>
                </c:pt>
                <c:pt idx="97">
                  <c:v>Medium Price</c:v>
                </c:pt>
                <c:pt idx="98">
                  <c:v>Medium Price</c:v>
                </c:pt>
                <c:pt idx="99">
                  <c:v>Medium Price</c:v>
                </c:pt>
                <c:pt idx="100">
                  <c:v>Medium Price</c:v>
                </c:pt>
                <c:pt idx="101">
                  <c:v>Medium Price</c:v>
                </c:pt>
                <c:pt idx="102">
                  <c:v>Medium Price</c:v>
                </c:pt>
                <c:pt idx="103">
                  <c:v>Medium Price</c:v>
                </c:pt>
                <c:pt idx="104">
                  <c:v>Medium Price</c:v>
                </c:pt>
                <c:pt idx="105">
                  <c:v>Medium Price</c:v>
                </c:pt>
                <c:pt idx="106">
                  <c:v>Medium Price</c:v>
                </c:pt>
                <c:pt idx="107">
                  <c:v>Medium Price</c:v>
                </c:pt>
                <c:pt idx="108">
                  <c:v>Medium Price</c:v>
                </c:pt>
                <c:pt idx="109">
                  <c:v>Medium Price</c:v>
                </c:pt>
                <c:pt idx="110">
                  <c:v>Medium Price</c:v>
                </c:pt>
                <c:pt idx="111">
                  <c:v>Medium Price</c:v>
                </c:pt>
              </c:strCache>
            </c:strRef>
          </c:xVal>
          <c:yVal>
            <c:numRef>
              <c:f>'Cleaned_data '!$I$2:$I$116</c:f>
              <c:numCache>
                <c:formatCode>General</c:formatCode>
                <c:ptCount val="115"/>
                <c:pt idx="0">
                  <c:v>4.3</c:v>
                </c:pt>
                <c:pt idx="1">
                  <c:v>3</c:v>
                </c:pt>
                <c:pt idx="2">
                  <c:v>3</c:v>
                </c:pt>
                <c:pt idx="3">
                  <c:v>3.8</c:v>
                </c:pt>
                <c:pt idx="4">
                  <c:v>4</c:v>
                </c:pt>
                <c:pt idx="5">
                  <c:v>5</c:v>
                </c:pt>
                <c:pt idx="6">
                  <c:v>4.5999999999999996</c:v>
                </c:pt>
                <c:pt idx="7">
                  <c:v>4.5999999999999996</c:v>
                </c:pt>
                <c:pt idx="8">
                  <c:v>5</c:v>
                </c:pt>
                <c:pt idx="9">
                  <c:v>4.5999999999999996</c:v>
                </c:pt>
                <c:pt idx="10">
                  <c:v>2.1</c:v>
                </c:pt>
                <c:pt idx="14">
                  <c:v>2.5</c:v>
                </c:pt>
                <c:pt idx="17">
                  <c:v>3</c:v>
                </c:pt>
                <c:pt idx="18">
                  <c:v>3.3</c:v>
                </c:pt>
                <c:pt idx="19">
                  <c:v>4.3</c:v>
                </c:pt>
                <c:pt idx="20">
                  <c:v>4</c:v>
                </c:pt>
                <c:pt idx="21">
                  <c:v>4.0999999999999996</c:v>
                </c:pt>
                <c:pt idx="22">
                  <c:v>3</c:v>
                </c:pt>
                <c:pt idx="23">
                  <c:v>4.3</c:v>
                </c:pt>
                <c:pt idx="24">
                  <c:v>4</c:v>
                </c:pt>
                <c:pt idx="25">
                  <c:v>4</c:v>
                </c:pt>
                <c:pt idx="26">
                  <c:v>4.0999999999999996</c:v>
                </c:pt>
                <c:pt idx="27">
                  <c:v>5</c:v>
                </c:pt>
                <c:pt idx="28">
                  <c:v>5</c:v>
                </c:pt>
                <c:pt idx="29">
                  <c:v>4.5999999999999996</c:v>
                </c:pt>
                <c:pt idx="30">
                  <c:v>5</c:v>
                </c:pt>
                <c:pt idx="31">
                  <c:v>4.8</c:v>
                </c:pt>
                <c:pt idx="32">
                  <c:v>5</c:v>
                </c:pt>
                <c:pt idx="33">
                  <c:v>4.5</c:v>
                </c:pt>
                <c:pt idx="34">
                  <c:v>4.5</c:v>
                </c:pt>
                <c:pt idx="35">
                  <c:v>4.5999999999999996</c:v>
                </c:pt>
                <c:pt idx="36">
                  <c:v>4.7</c:v>
                </c:pt>
                <c:pt idx="37">
                  <c:v>4.7</c:v>
                </c:pt>
                <c:pt idx="41">
                  <c:v>2.7</c:v>
                </c:pt>
                <c:pt idx="44">
                  <c:v>2</c:v>
                </c:pt>
                <c:pt idx="52">
                  <c:v>2.8</c:v>
                </c:pt>
                <c:pt idx="59">
                  <c:v>2.2000000000000002</c:v>
                </c:pt>
                <c:pt idx="63">
                  <c:v>2.2000000000000002</c:v>
                </c:pt>
                <c:pt idx="65">
                  <c:v>2.6</c:v>
                </c:pt>
                <c:pt idx="68">
                  <c:v>2.2999999999999998</c:v>
                </c:pt>
                <c:pt idx="74">
                  <c:v>4.3</c:v>
                </c:pt>
                <c:pt idx="75">
                  <c:v>3</c:v>
                </c:pt>
                <c:pt idx="76">
                  <c:v>3.8</c:v>
                </c:pt>
                <c:pt idx="77">
                  <c:v>4.2</c:v>
                </c:pt>
                <c:pt idx="78">
                  <c:v>3.8</c:v>
                </c:pt>
                <c:pt idx="79">
                  <c:v>4.0999999999999996</c:v>
                </c:pt>
                <c:pt idx="80">
                  <c:v>4.4000000000000004</c:v>
                </c:pt>
                <c:pt idx="81">
                  <c:v>4.8</c:v>
                </c:pt>
                <c:pt idx="82">
                  <c:v>5</c:v>
                </c:pt>
                <c:pt idx="83">
                  <c:v>4.5</c:v>
                </c:pt>
                <c:pt idx="84">
                  <c:v>4.7</c:v>
                </c:pt>
                <c:pt idx="85">
                  <c:v>4.5</c:v>
                </c:pt>
                <c:pt idx="86">
                  <c:v>4.7</c:v>
                </c:pt>
                <c:pt idx="87">
                  <c:v>4.8</c:v>
                </c:pt>
                <c:pt idx="89">
                  <c:v>2.2999999999999998</c:v>
                </c:pt>
                <c:pt idx="91">
                  <c:v>2.1</c:v>
                </c:pt>
                <c:pt idx="100">
                  <c:v>2.9</c:v>
                </c:pt>
              </c:numCache>
            </c:numRef>
          </c:yVal>
          <c:smooth val="0"/>
          <c:extLst>
            <c:ext xmlns:c16="http://schemas.microsoft.com/office/drawing/2014/chart" uri="{C3380CC4-5D6E-409C-BE32-E72D297353CC}">
              <c16:uniqueId val="{00000000-9098-4EC5-AB7F-DB1A4F58DFEA}"/>
            </c:ext>
          </c:extLst>
        </c:ser>
        <c:dLbls>
          <c:showLegendKey val="0"/>
          <c:showVal val="0"/>
          <c:showCatName val="0"/>
          <c:showSerName val="0"/>
          <c:showPercent val="0"/>
          <c:showBubbleSize val="0"/>
        </c:dLbls>
        <c:axId val="557843695"/>
        <c:axId val="557831631"/>
      </c:scatterChart>
      <c:valAx>
        <c:axId val="55784369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31631"/>
        <c:crosses val="autoZero"/>
        <c:crossBetween val="midCat"/>
      </c:valAx>
      <c:valAx>
        <c:axId val="55783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43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949136D5-4439-42F8-8FAA-EA14DC631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438150</xdr:colOff>
      <xdr:row>0</xdr:row>
      <xdr:rowOff>28575</xdr:rowOff>
    </xdr:from>
    <xdr:to>
      <xdr:col>15</xdr:col>
      <xdr:colOff>133350</xdr:colOff>
      <xdr:row>14</xdr:row>
      <xdr:rowOff>104775</xdr:rowOff>
    </xdr:to>
    <xdr:graphicFrame macro="">
      <xdr:nvGraphicFramePr>
        <xdr:cNvPr id="3" name="Chart 2">
          <a:extLst>
            <a:ext uri="{FF2B5EF4-FFF2-40B4-BE49-F238E27FC236}">
              <a16:creationId xmlns:a16="http://schemas.microsoft.com/office/drawing/2014/main" id="{1DC8011C-7779-470F-A32B-D894BF432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285750</xdr:colOff>
      <xdr:row>30</xdr:row>
      <xdr:rowOff>76200</xdr:rowOff>
    </xdr:to>
    <xdr:graphicFrame macro="">
      <xdr:nvGraphicFramePr>
        <xdr:cNvPr id="4" name="Chart 3">
          <a:extLst>
            <a:ext uri="{FF2B5EF4-FFF2-40B4-BE49-F238E27FC236}">
              <a16:creationId xmlns:a16="http://schemas.microsoft.com/office/drawing/2014/main" id="{5E11E65F-DD67-4D41-B50F-F3389DEA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xdr:colOff>
      <xdr:row>0</xdr:row>
      <xdr:rowOff>154782</xdr:rowOff>
    </xdr:from>
    <xdr:to>
      <xdr:col>5</xdr:col>
      <xdr:colOff>28573</xdr:colOff>
      <xdr:row>7</xdr:row>
      <xdr:rowOff>71438</xdr:rowOff>
    </xdr:to>
    <mc:AlternateContent xmlns:mc="http://schemas.openxmlformats.org/markup-compatibility/2006">
      <mc:Choice xmlns:a14="http://schemas.microsoft.com/office/drawing/2010/main" Requires="a14">
        <xdr:graphicFrame macro="">
          <xdr:nvGraphicFramePr>
            <xdr:cNvPr id="12" name="Price Category">
              <a:extLst>
                <a:ext uri="{FF2B5EF4-FFF2-40B4-BE49-F238E27FC236}">
                  <a16:creationId xmlns:a16="http://schemas.microsoft.com/office/drawing/2014/main" id="{1DA50608-0CF7-4082-8881-E9B3211FEC80}"/>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2641146" y="154782"/>
              <a:ext cx="1836963"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65316</xdr:colOff>
      <xdr:row>7</xdr:row>
      <xdr:rowOff>105456</xdr:rowOff>
    </xdr:from>
    <xdr:to>
      <xdr:col>5</xdr:col>
      <xdr:colOff>65314</xdr:colOff>
      <xdr:row>13</xdr:row>
      <xdr:rowOff>188800</xdr:rowOff>
    </xdr:to>
    <mc:AlternateContent xmlns:mc="http://schemas.openxmlformats.org/markup-compatibility/2006">
      <mc:Choice xmlns:a14="http://schemas.microsoft.com/office/drawing/2010/main" Requires="a14">
        <xdr:graphicFrame macro="">
          <xdr:nvGraphicFramePr>
            <xdr:cNvPr id="13" name="Discount Category">
              <a:extLst>
                <a:ext uri="{FF2B5EF4-FFF2-40B4-BE49-F238E27FC236}">
                  <a16:creationId xmlns:a16="http://schemas.microsoft.com/office/drawing/2014/main" id="{91BAA114-3733-49D5-884A-74C6FAD3B66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2677887" y="1438956"/>
              <a:ext cx="1836963" cy="122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43202</xdr:colOff>
      <xdr:row>15</xdr:row>
      <xdr:rowOff>40821</xdr:rowOff>
    </xdr:from>
    <xdr:to>
      <xdr:col>5</xdr:col>
      <xdr:colOff>202404</xdr:colOff>
      <xdr:row>22</xdr:row>
      <xdr:rowOff>95250</xdr:rowOff>
    </xdr:to>
    <mc:AlternateContent xmlns:mc="http://schemas.openxmlformats.org/markup-compatibility/2006">
      <mc:Choice xmlns:a14="http://schemas.microsoft.com/office/drawing/2010/main" Requires="a14">
        <xdr:graphicFrame macro="">
          <xdr:nvGraphicFramePr>
            <xdr:cNvPr id="14" name="Ratings Category">
              <a:extLst>
                <a:ext uri="{FF2B5EF4-FFF2-40B4-BE49-F238E27FC236}">
                  <a16:creationId xmlns:a16="http://schemas.microsoft.com/office/drawing/2014/main" id="{051FE65F-8B55-4385-A254-5ACC40363027}"/>
                </a:ext>
              </a:extLst>
            </xdr:cNvPr>
            <xdr:cNvGraphicFramePr/>
          </xdr:nvGraphicFramePr>
          <xdr:xfrm>
            <a:off x="0" y="0"/>
            <a:ext cx="0" cy="0"/>
          </xdr:xfrm>
          <a:graphic>
            <a:graphicData uri="http://schemas.microsoft.com/office/drawing/2010/slicer">
              <sle:slicer xmlns:sle="http://schemas.microsoft.com/office/drawing/2010/slicer" name="Ratings Category"/>
            </a:graphicData>
          </a:graphic>
        </xdr:graphicFrame>
      </mc:Choice>
      <mc:Fallback>
        <xdr:sp macro="" textlink="">
          <xdr:nvSpPr>
            <xdr:cNvPr id="0" name=""/>
            <xdr:cNvSpPr>
              <a:spLocks noTextEdit="1"/>
            </xdr:cNvSpPr>
          </xdr:nvSpPr>
          <xdr:spPr>
            <a:xfrm>
              <a:off x="2655773" y="2898321"/>
              <a:ext cx="1996167" cy="1387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65484</xdr:colOff>
      <xdr:row>0</xdr:row>
      <xdr:rowOff>3571</xdr:rowOff>
    </xdr:from>
    <xdr:to>
      <xdr:col>12</xdr:col>
      <xdr:colOff>386952</xdr:colOff>
      <xdr:row>14</xdr:row>
      <xdr:rowOff>79771</xdr:rowOff>
    </xdr:to>
    <xdr:graphicFrame macro="">
      <xdr:nvGraphicFramePr>
        <xdr:cNvPr id="17" name="Chart 16">
          <a:extLst>
            <a:ext uri="{FF2B5EF4-FFF2-40B4-BE49-F238E27FC236}">
              <a16:creationId xmlns:a16="http://schemas.microsoft.com/office/drawing/2014/main" id="{0A44F3B9-924C-4954-B4DA-0944491E0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210523</xdr:colOff>
      <xdr:row>15</xdr:row>
      <xdr:rowOff>39289</xdr:rowOff>
    </xdr:from>
    <xdr:to>
      <xdr:col>12</xdr:col>
      <xdr:colOff>530909</xdr:colOff>
      <xdr:row>29</xdr:row>
      <xdr:rowOff>115489</xdr:rowOff>
    </xdr:to>
    <xdr:graphicFrame macro="">
      <xdr:nvGraphicFramePr>
        <xdr:cNvPr id="18" name="Chart 17">
          <a:extLst>
            <a:ext uri="{FF2B5EF4-FFF2-40B4-BE49-F238E27FC236}">
              <a16:creationId xmlns:a16="http://schemas.microsoft.com/office/drawing/2014/main" id="{9AF0D5F2-20A2-47DA-86CD-D79990E7B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346363</xdr:colOff>
      <xdr:row>0</xdr:row>
      <xdr:rowOff>31173</xdr:rowOff>
    </xdr:from>
    <xdr:to>
      <xdr:col>20</xdr:col>
      <xdr:colOff>69272</xdr:colOff>
      <xdr:row>14</xdr:row>
      <xdr:rowOff>107373</xdr:rowOff>
    </xdr:to>
    <xdr:graphicFrame macro="">
      <xdr:nvGraphicFramePr>
        <xdr:cNvPr id="19" name="Chart 18">
          <a:extLst>
            <a:ext uri="{FF2B5EF4-FFF2-40B4-BE49-F238E27FC236}">
              <a16:creationId xmlns:a16="http://schemas.microsoft.com/office/drawing/2014/main" id="{B0C51C64-6C39-45E8-9D65-C2502A5D1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502227</xdr:colOff>
      <xdr:row>14</xdr:row>
      <xdr:rowOff>135082</xdr:rowOff>
    </xdr:from>
    <xdr:to>
      <xdr:col>20</xdr:col>
      <xdr:colOff>225136</xdr:colOff>
      <xdr:row>29</xdr:row>
      <xdr:rowOff>20782</xdr:rowOff>
    </xdr:to>
    <xdr:graphicFrame macro="">
      <xdr:nvGraphicFramePr>
        <xdr:cNvPr id="20" name="Chart 19">
          <a:extLst>
            <a:ext uri="{FF2B5EF4-FFF2-40B4-BE49-F238E27FC236}">
              <a16:creationId xmlns:a16="http://schemas.microsoft.com/office/drawing/2014/main" id="{725631D6-2876-4CC4-AB03-E5CF0DE4F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136072</xdr:colOff>
      <xdr:row>0</xdr:row>
      <xdr:rowOff>0</xdr:rowOff>
    </xdr:from>
    <xdr:to>
      <xdr:col>27</xdr:col>
      <xdr:colOff>421822</xdr:colOff>
      <xdr:row>14</xdr:row>
      <xdr:rowOff>76200</xdr:rowOff>
    </xdr:to>
    <xdr:graphicFrame macro="">
      <xdr:nvGraphicFramePr>
        <xdr:cNvPr id="22" name="Chart 21">
          <a:extLst>
            <a:ext uri="{FF2B5EF4-FFF2-40B4-BE49-F238E27FC236}">
              <a16:creationId xmlns:a16="http://schemas.microsoft.com/office/drawing/2014/main" id="{B9DF53CC-D046-422F-8890-87CFECD4D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16</xdr:row>
      <xdr:rowOff>0</xdr:rowOff>
    </xdr:from>
    <xdr:to>
      <xdr:col>28</xdr:col>
      <xdr:colOff>285750</xdr:colOff>
      <xdr:row>30</xdr:row>
      <xdr:rowOff>76200</xdr:rowOff>
    </xdr:to>
    <xdr:graphicFrame macro="">
      <xdr:nvGraphicFramePr>
        <xdr:cNvPr id="24" name="Chart 23">
          <a:extLst>
            <a:ext uri="{FF2B5EF4-FFF2-40B4-BE49-F238E27FC236}">
              <a16:creationId xmlns:a16="http://schemas.microsoft.com/office/drawing/2014/main" id="{9E9D0D40-375B-4BB4-861B-6B78BD6DC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600074</xdr:colOff>
      <xdr:row>0</xdr:row>
      <xdr:rowOff>133350</xdr:rowOff>
    </xdr:from>
    <xdr:to>
      <xdr:col>20</xdr:col>
      <xdr:colOff>114299</xdr:colOff>
      <xdr:row>4</xdr:row>
      <xdr:rowOff>47625</xdr:rowOff>
    </xdr:to>
    <xdr:sp macro="" textlink="">
      <xdr:nvSpPr>
        <xdr:cNvPr id="2" name="Rectangle: Rounded Corners 1">
          <a:extLst>
            <a:ext uri="{FF2B5EF4-FFF2-40B4-BE49-F238E27FC236}">
              <a16:creationId xmlns:a16="http://schemas.microsoft.com/office/drawing/2014/main" id="{71ACDFBB-C9FE-44C8-BA6B-FB8F0548DDAC}"/>
            </a:ext>
          </a:extLst>
        </xdr:cNvPr>
        <xdr:cNvSpPr/>
      </xdr:nvSpPr>
      <xdr:spPr>
        <a:xfrm>
          <a:off x="1819274" y="133350"/>
          <a:ext cx="10487025" cy="676275"/>
        </a:xfrm>
        <a:prstGeom prst="roundRect">
          <a:avLst/>
        </a:prstGeom>
        <a:solidFill>
          <a:schemeClr val="accent6"/>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t>JUMIA PRODUCT PERFOMANCE DASHBOARD </a:t>
          </a:r>
        </a:p>
      </xdr:txBody>
    </xdr:sp>
    <xdr:clientData/>
  </xdr:twoCellAnchor>
  <xdr:twoCellAnchor>
    <xdr:from>
      <xdr:col>3</xdr:col>
      <xdr:colOff>38100</xdr:colOff>
      <xdr:row>5</xdr:row>
      <xdr:rowOff>9525</xdr:rowOff>
    </xdr:from>
    <xdr:to>
      <xdr:col>5</xdr:col>
      <xdr:colOff>381000</xdr:colOff>
      <xdr:row>7</xdr:row>
      <xdr:rowOff>123825</xdr:rowOff>
    </xdr:to>
    <xdr:sp macro="" textlink="">
      <xdr:nvSpPr>
        <xdr:cNvPr id="3" name="Rectangle: Rounded Corners 2">
          <a:extLst>
            <a:ext uri="{FF2B5EF4-FFF2-40B4-BE49-F238E27FC236}">
              <a16:creationId xmlns:a16="http://schemas.microsoft.com/office/drawing/2014/main" id="{1AEFD14B-362B-4B81-8084-3C46970EF793}"/>
            </a:ext>
          </a:extLst>
        </xdr:cNvPr>
        <xdr:cNvSpPr/>
      </xdr:nvSpPr>
      <xdr:spPr>
        <a:xfrm>
          <a:off x="1866900" y="962025"/>
          <a:ext cx="1981200" cy="49530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a:t>
          </a:r>
          <a:r>
            <a:rPr lang="en-US" sz="1100"/>
            <a:t>Product </a:t>
          </a:r>
        </a:p>
        <a:p>
          <a:pPr algn="l"/>
          <a:r>
            <a:rPr lang="en-US" sz="1100" b="0" i="0" u="none" strike="noStrike">
              <a:solidFill>
                <a:schemeClr val="lt1"/>
              </a:solidFill>
              <a:effectLst/>
              <a:latin typeface="+mn-lt"/>
              <a:ea typeface="+mn-ea"/>
              <a:cs typeface="+mn-cs"/>
            </a:rPr>
            <a:t>112</a:t>
          </a:r>
          <a:r>
            <a:rPr lang="en-US"/>
            <a:t> </a:t>
          </a:r>
          <a:endParaRPr lang="en-US" sz="1100"/>
        </a:p>
      </xdr:txBody>
    </xdr:sp>
    <xdr:clientData/>
  </xdr:twoCellAnchor>
  <xdr:twoCellAnchor>
    <xdr:from>
      <xdr:col>6</xdr:col>
      <xdr:colOff>0</xdr:colOff>
      <xdr:row>5</xdr:row>
      <xdr:rowOff>9525</xdr:rowOff>
    </xdr:from>
    <xdr:to>
      <xdr:col>8</xdr:col>
      <xdr:colOff>171450</xdr:colOff>
      <xdr:row>7</xdr:row>
      <xdr:rowOff>142875</xdr:rowOff>
    </xdr:to>
    <xdr:sp macro="" textlink="">
      <xdr:nvSpPr>
        <xdr:cNvPr id="4" name="Rectangle: Rounded Corners 3">
          <a:extLst>
            <a:ext uri="{FF2B5EF4-FFF2-40B4-BE49-F238E27FC236}">
              <a16:creationId xmlns:a16="http://schemas.microsoft.com/office/drawing/2014/main" id="{7B57F994-11DA-4921-B304-B80160E20CC6}"/>
            </a:ext>
          </a:extLst>
        </xdr:cNvPr>
        <xdr:cNvSpPr/>
      </xdr:nvSpPr>
      <xdr:spPr>
        <a:xfrm>
          <a:off x="3657600" y="962025"/>
          <a:ext cx="1390650" cy="51435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a:t>
          </a:r>
          <a:r>
            <a:rPr lang="en-US" sz="1100" baseline="0"/>
            <a:t> Price </a:t>
          </a:r>
        </a:p>
        <a:p>
          <a:pPr algn="l"/>
          <a:r>
            <a:rPr lang="en-US" sz="1100" b="0" i="0" u="none" strike="noStrike">
              <a:solidFill>
                <a:schemeClr val="lt1"/>
              </a:solidFill>
              <a:effectLst/>
              <a:latin typeface="+mn-lt"/>
              <a:ea typeface="+mn-ea"/>
              <a:cs typeface="+mn-cs"/>
            </a:rPr>
            <a:t>KES 1,188.50</a:t>
          </a:r>
          <a:r>
            <a:rPr lang="en-US"/>
            <a:t> </a:t>
          </a:r>
          <a:endParaRPr lang="en-US" sz="1100"/>
        </a:p>
      </xdr:txBody>
    </xdr:sp>
    <xdr:clientData/>
  </xdr:twoCellAnchor>
  <xdr:twoCellAnchor>
    <xdr:from>
      <xdr:col>8</xdr:col>
      <xdr:colOff>476250</xdr:colOff>
      <xdr:row>5</xdr:row>
      <xdr:rowOff>9525</xdr:rowOff>
    </xdr:from>
    <xdr:to>
      <xdr:col>11</xdr:col>
      <xdr:colOff>66675</xdr:colOff>
      <xdr:row>8</xdr:row>
      <xdr:rowOff>0</xdr:rowOff>
    </xdr:to>
    <xdr:sp macro="" textlink="">
      <xdr:nvSpPr>
        <xdr:cNvPr id="5" name="Rectangle: Rounded Corners 4">
          <a:extLst>
            <a:ext uri="{FF2B5EF4-FFF2-40B4-BE49-F238E27FC236}">
              <a16:creationId xmlns:a16="http://schemas.microsoft.com/office/drawing/2014/main" id="{07AC818E-BFB1-488B-82E8-0E698061B869}"/>
            </a:ext>
          </a:extLst>
        </xdr:cNvPr>
        <xdr:cNvSpPr/>
      </xdr:nvSpPr>
      <xdr:spPr>
        <a:xfrm>
          <a:off x="5353050" y="962025"/>
          <a:ext cx="1419225" cy="56197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Discount %</a:t>
          </a:r>
        </a:p>
        <a:p>
          <a:pPr algn="l"/>
          <a:r>
            <a:rPr lang="en-US" sz="1100" b="0" i="0" u="none" strike="noStrike">
              <a:solidFill>
                <a:schemeClr val="lt1"/>
              </a:solidFill>
              <a:effectLst/>
              <a:latin typeface="+mn-lt"/>
              <a:ea typeface="+mn-ea"/>
              <a:cs typeface="+mn-cs"/>
            </a:rPr>
            <a:t>36.78%</a:t>
          </a:r>
          <a:r>
            <a:rPr lang="en-US"/>
            <a:t> </a:t>
          </a:r>
          <a:endParaRPr lang="en-US" sz="1100"/>
        </a:p>
      </xdr:txBody>
    </xdr:sp>
    <xdr:clientData/>
  </xdr:twoCellAnchor>
  <xdr:twoCellAnchor>
    <xdr:from>
      <xdr:col>11</xdr:col>
      <xdr:colOff>438150</xdr:colOff>
      <xdr:row>5</xdr:row>
      <xdr:rowOff>19050</xdr:rowOff>
    </xdr:from>
    <xdr:to>
      <xdr:col>13</xdr:col>
      <xdr:colOff>371475</xdr:colOff>
      <xdr:row>7</xdr:row>
      <xdr:rowOff>161925</xdr:rowOff>
    </xdr:to>
    <xdr:sp macro="" textlink="">
      <xdr:nvSpPr>
        <xdr:cNvPr id="6" name="Rectangle: Rounded Corners 5">
          <a:extLst>
            <a:ext uri="{FF2B5EF4-FFF2-40B4-BE49-F238E27FC236}">
              <a16:creationId xmlns:a16="http://schemas.microsoft.com/office/drawing/2014/main" id="{EE314CEF-8F3F-4858-9C01-1BABCCD22FF2}"/>
            </a:ext>
          </a:extLst>
        </xdr:cNvPr>
        <xdr:cNvSpPr/>
      </xdr:nvSpPr>
      <xdr:spPr>
        <a:xfrm>
          <a:off x="7143750" y="971550"/>
          <a:ext cx="1152525" cy="52387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Rating </a:t>
          </a:r>
          <a:r>
            <a:rPr lang="en-US" sz="1100" b="0" i="0" u="none" strike="noStrike">
              <a:solidFill>
                <a:schemeClr val="lt1"/>
              </a:solidFill>
              <a:effectLst/>
              <a:latin typeface="+mn-lt"/>
              <a:ea typeface="+mn-ea"/>
              <a:cs typeface="+mn-cs"/>
            </a:rPr>
            <a:t>3.89</a:t>
          </a:r>
          <a:r>
            <a:rPr lang="en-US"/>
            <a:t> </a:t>
          </a:r>
          <a:endParaRPr lang="en-US" sz="1100"/>
        </a:p>
      </xdr:txBody>
    </xdr:sp>
    <xdr:clientData/>
  </xdr:twoCellAnchor>
  <xdr:twoCellAnchor>
    <xdr:from>
      <xdr:col>14</xdr:col>
      <xdr:colOff>209550</xdr:colOff>
      <xdr:row>5</xdr:row>
      <xdr:rowOff>38100</xdr:rowOff>
    </xdr:from>
    <xdr:to>
      <xdr:col>16</xdr:col>
      <xdr:colOff>161925</xdr:colOff>
      <xdr:row>7</xdr:row>
      <xdr:rowOff>180975</xdr:rowOff>
    </xdr:to>
    <xdr:sp macro="" textlink="">
      <xdr:nvSpPr>
        <xdr:cNvPr id="7" name="Rectangle: Rounded Corners 6">
          <a:extLst>
            <a:ext uri="{FF2B5EF4-FFF2-40B4-BE49-F238E27FC236}">
              <a16:creationId xmlns:a16="http://schemas.microsoft.com/office/drawing/2014/main" id="{42B24EE4-8B03-439B-9736-2807E432B778}"/>
            </a:ext>
          </a:extLst>
        </xdr:cNvPr>
        <xdr:cNvSpPr/>
      </xdr:nvSpPr>
      <xdr:spPr>
        <a:xfrm>
          <a:off x="8743950" y="990600"/>
          <a:ext cx="1171575" cy="523875"/>
        </a:xfrm>
        <a:prstGeom prst="roundRect">
          <a:avLst/>
        </a:prstGeom>
        <a:solidFill>
          <a:schemeClr val="accent6"/>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Reviews</a:t>
          </a:r>
          <a:r>
            <a:rPr lang="en-US" sz="1100" baseline="0"/>
            <a:t> </a:t>
          </a:r>
        </a:p>
        <a:p>
          <a:pPr algn="l"/>
          <a:r>
            <a:rPr lang="en-US" sz="1100" b="0" i="0" u="none" strike="noStrike">
              <a:solidFill>
                <a:schemeClr val="lt1"/>
              </a:solidFill>
              <a:effectLst/>
              <a:latin typeface="+mn-lt"/>
              <a:ea typeface="+mn-ea"/>
              <a:cs typeface="+mn-cs"/>
            </a:rPr>
            <a:t>57</a:t>
          </a:r>
          <a:r>
            <a:rPr lang="en-US"/>
            <a:t> </a:t>
          </a:r>
          <a:endParaRPr lang="en-US" sz="1100"/>
        </a:p>
      </xdr:txBody>
    </xdr:sp>
    <xdr:clientData/>
  </xdr:twoCellAnchor>
  <xdr:twoCellAnchor editAs="oneCell">
    <xdr:from>
      <xdr:col>2</xdr:col>
      <xdr:colOff>28575</xdr:colOff>
      <xdr:row>8</xdr:row>
      <xdr:rowOff>114300</xdr:rowOff>
    </xdr:from>
    <xdr:to>
      <xdr:col>5</xdr:col>
      <xdr:colOff>36738</xdr:colOff>
      <xdr:row>15</xdr:row>
      <xdr:rowOff>30956</xdr:rowOff>
    </xdr:to>
    <mc:AlternateContent xmlns:mc="http://schemas.openxmlformats.org/markup-compatibility/2006">
      <mc:Choice xmlns:a14="http://schemas.microsoft.com/office/drawing/2010/main" Requires="a14">
        <xdr:graphicFrame macro="">
          <xdr:nvGraphicFramePr>
            <xdr:cNvPr id="9" name="Price Category 1">
              <a:extLst>
                <a:ext uri="{FF2B5EF4-FFF2-40B4-BE49-F238E27FC236}">
                  <a16:creationId xmlns:a16="http://schemas.microsoft.com/office/drawing/2014/main" id="{0324C9E7-2CB3-4D3C-8993-AE27657F95B5}"/>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247775" y="1638300"/>
              <a:ext cx="1836963"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16</xdr:row>
      <xdr:rowOff>0</xdr:rowOff>
    </xdr:from>
    <xdr:to>
      <xdr:col>5</xdr:col>
      <xdr:colOff>8163</xdr:colOff>
      <xdr:row>22</xdr:row>
      <xdr:rowOff>83344</xdr:rowOff>
    </xdr:to>
    <mc:AlternateContent xmlns:mc="http://schemas.openxmlformats.org/markup-compatibility/2006">
      <mc:Choice xmlns:a14="http://schemas.microsoft.com/office/drawing/2010/main" Requires="a14">
        <xdr:graphicFrame macro="">
          <xdr:nvGraphicFramePr>
            <xdr:cNvPr id="11" name="Discount Category 1">
              <a:extLst>
                <a:ext uri="{FF2B5EF4-FFF2-40B4-BE49-F238E27FC236}">
                  <a16:creationId xmlns:a16="http://schemas.microsoft.com/office/drawing/2014/main" id="{A87E5CE8-5AAD-499E-B111-3FDD50F3B3F5}"/>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219200" y="3048000"/>
              <a:ext cx="1836963" cy="122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24</xdr:row>
      <xdr:rowOff>0</xdr:rowOff>
    </xdr:from>
    <xdr:to>
      <xdr:col>4</xdr:col>
      <xdr:colOff>571501</xdr:colOff>
      <xdr:row>31</xdr:row>
      <xdr:rowOff>54429</xdr:rowOff>
    </xdr:to>
    <mc:AlternateContent xmlns:mc="http://schemas.openxmlformats.org/markup-compatibility/2006">
      <mc:Choice xmlns:a14="http://schemas.microsoft.com/office/drawing/2010/main" Requires="a14">
        <xdr:graphicFrame macro="">
          <xdr:nvGraphicFramePr>
            <xdr:cNvPr id="13" name="Ratings Category 1">
              <a:extLst>
                <a:ext uri="{FF2B5EF4-FFF2-40B4-BE49-F238E27FC236}">
                  <a16:creationId xmlns:a16="http://schemas.microsoft.com/office/drawing/2014/main" id="{308A6F96-DB67-4517-8779-032173BE93B4}"/>
                </a:ext>
              </a:extLst>
            </xdr:cNvPr>
            <xdr:cNvGraphicFramePr/>
          </xdr:nvGraphicFramePr>
          <xdr:xfrm>
            <a:off x="0" y="0"/>
            <a:ext cx="0" cy="0"/>
          </xdr:xfrm>
          <a:graphic>
            <a:graphicData uri="http://schemas.microsoft.com/office/drawing/2010/slicer">
              <sle:slicer xmlns:sle="http://schemas.microsoft.com/office/drawing/2010/slicer" name="Ratings Category 1"/>
            </a:graphicData>
          </a:graphic>
        </xdr:graphicFrame>
      </mc:Choice>
      <mc:Fallback>
        <xdr:sp macro="" textlink="">
          <xdr:nvSpPr>
            <xdr:cNvPr id="0" name=""/>
            <xdr:cNvSpPr>
              <a:spLocks noTextEdit="1"/>
            </xdr:cNvSpPr>
          </xdr:nvSpPr>
          <xdr:spPr>
            <a:xfrm>
              <a:off x="1219201" y="4572000"/>
              <a:ext cx="1790700" cy="1387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xdr:colOff>
      <xdr:row>8</xdr:row>
      <xdr:rowOff>19050</xdr:rowOff>
    </xdr:from>
    <xdr:to>
      <xdr:col>12</xdr:col>
      <xdr:colOff>381000</xdr:colOff>
      <xdr:row>21</xdr:row>
      <xdr:rowOff>57150</xdr:rowOff>
    </xdr:to>
    <xdr:graphicFrame macro="">
      <xdr:nvGraphicFramePr>
        <xdr:cNvPr id="15" name="Chart 14">
          <a:extLst>
            <a:ext uri="{FF2B5EF4-FFF2-40B4-BE49-F238E27FC236}">
              <a16:creationId xmlns:a16="http://schemas.microsoft.com/office/drawing/2014/main" id="{FBD58ED8-F404-490C-8435-3BF114B3C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457200</xdr:colOff>
      <xdr:row>8</xdr:row>
      <xdr:rowOff>9525</xdr:rowOff>
    </xdr:from>
    <xdr:to>
      <xdr:col>20</xdr:col>
      <xdr:colOff>152400</xdr:colOff>
      <xdr:row>21</xdr:row>
      <xdr:rowOff>38100</xdr:rowOff>
    </xdr:to>
    <xdr:graphicFrame macro="">
      <xdr:nvGraphicFramePr>
        <xdr:cNvPr id="17" name="Chart 16">
          <a:extLst>
            <a:ext uri="{FF2B5EF4-FFF2-40B4-BE49-F238E27FC236}">
              <a16:creationId xmlns:a16="http://schemas.microsoft.com/office/drawing/2014/main" id="{A76A5B91-B2B8-444A-B6CF-B5855857F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21</xdr:row>
      <xdr:rowOff>142876</xdr:rowOff>
    </xdr:from>
    <xdr:to>
      <xdr:col>10</xdr:col>
      <xdr:colOff>66675</xdr:colOff>
      <xdr:row>30</xdr:row>
      <xdr:rowOff>123826</xdr:rowOff>
    </xdr:to>
    <xdr:graphicFrame macro="">
      <xdr:nvGraphicFramePr>
        <xdr:cNvPr id="18" name="Chart 17">
          <a:extLst>
            <a:ext uri="{FF2B5EF4-FFF2-40B4-BE49-F238E27FC236}">
              <a16:creationId xmlns:a16="http://schemas.microsoft.com/office/drawing/2014/main" id="{C21065ED-F91A-4EE7-AC11-22A63052D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21</xdr:row>
      <xdr:rowOff>133350</xdr:rowOff>
    </xdr:from>
    <xdr:to>
      <xdr:col>15</xdr:col>
      <xdr:colOff>114300</xdr:colOff>
      <xdr:row>30</xdr:row>
      <xdr:rowOff>114300</xdr:rowOff>
    </xdr:to>
    <xdr:graphicFrame macro="">
      <xdr:nvGraphicFramePr>
        <xdr:cNvPr id="21" name="Chart 20">
          <a:extLst>
            <a:ext uri="{FF2B5EF4-FFF2-40B4-BE49-F238E27FC236}">
              <a16:creationId xmlns:a16="http://schemas.microsoft.com/office/drawing/2014/main" id="{72849952-AFD3-44EF-815F-4908BFA21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219075</xdr:colOff>
      <xdr:row>21</xdr:row>
      <xdr:rowOff>123826</xdr:rowOff>
    </xdr:from>
    <xdr:to>
      <xdr:col>20</xdr:col>
      <xdr:colOff>390525</xdr:colOff>
      <xdr:row>30</xdr:row>
      <xdr:rowOff>123826</xdr:rowOff>
    </xdr:to>
    <xdr:graphicFrame macro="">
      <xdr:nvGraphicFramePr>
        <xdr:cNvPr id="23" name="Chart 22">
          <a:extLst>
            <a:ext uri="{FF2B5EF4-FFF2-40B4-BE49-F238E27FC236}">
              <a16:creationId xmlns:a16="http://schemas.microsoft.com/office/drawing/2014/main" id="{42EFC066-7060-47DB-9EBE-076BC8653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xdr:colOff>
      <xdr:row>31</xdr:row>
      <xdr:rowOff>85725</xdr:rowOff>
    </xdr:from>
    <xdr:to>
      <xdr:col>8</xdr:col>
      <xdr:colOff>247650</xdr:colOff>
      <xdr:row>42</xdr:row>
      <xdr:rowOff>47625</xdr:rowOff>
    </xdr:to>
    <xdr:graphicFrame macro="">
      <xdr:nvGraphicFramePr>
        <xdr:cNvPr id="25" name="Chart 24">
          <a:extLst>
            <a:ext uri="{FF2B5EF4-FFF2-40B4-BE49-F238E27FC236}">
              <a16:creationId xmlns:a16="http://schemas.microsoft.com/office/drawing/2014/main" id="{B0CF0EA4-F918-448C-B145-2C239F960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295275</xdr:colOff>
      <xdr:row>31</xdr:row>
      <xdr:rowOff>123825</xdr:rowOff>
    </xdr:from>
    <xdr:to>
      <xdr:col>14</xdr:col>
      <xdr:colOff>171450</xdr:colOff>
      <xdr:row>42</xdr:row>
      <xdr:rowOff>38100</xdr:rowOff>
    </xdr:to>
    <xdr:graphicFrame macro="">
      <xdr:nvGraphicFramePr>
        <xdr:cNvPr id="27" name="Chart 26">
          <a:extLst>
            <a:ext uri="{FF2B5EF4-FFF2-40B4-BE49-F238E27FC236}">
              <a16:creationId xmlns:a16="http://schemas.microsoft.com/office/drawing/2014/main" id="{88BD5E59-66FA-491A-A944-7FEBBDE5C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247651</xdr:colOff>
      <xdr:row>31</xdr:row>
      <xdr:rowOff>95249</xdr:rowOff>
    </xdr:from>
    <xdr:to>
      <xdr:col>21</xdr:col>
      <xdr:colOff>114301</xdr:colOff>
      <xdr:row>41</xdr:row>
      <xdr:rowOff>180974</xdr:rowOff>
    </xdr:to>
    <xdr:graphicFrame macro="">
      <xdr:nvGraphicFramePr>
        <xdr:cNvPr id="29" name="Chart 28">
          <a:extLst>
            <a:ext uri="{FF2B5EF4-FFF2-40B4-BE49-F238E27FC236}">
              <a16:creationId xmlns:a16="http://schemas.microsoft.com/office/drawing/2014/main" id="{35133115-CFC9-4870-90B2-9894C2693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lo" refreshedDate="46284.849865277778" createdVersion="7" refreshedVersion="7" minRefreshableVersion="3" recordCount="112" xr:uid="{E01FD30E-43CC-4688-9B96-A787AD096CFE}">
  <cacheSource type="worksheet">
    <worksheetSource ref="A1:J113" sheet="Cleaned_data "/>
  </cacheSource>
  <cacheFields count="10">
    <cacheField name="Product" numFmtId="0">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Price Category" numFmtId="164">
      <sharedItems count="3">
        <s v="High Price"/>
        <s v="Medium Price"/>
        <s v="Low Price"/>
      </sharedItems>
    </cacheField>
    <cacheField name="Discounted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Discount"/>
        <s v="Low Discount"/>
        <s v="High Discount"/>
      </sharedItems>
    </cacheField>
    <cacheField name="Review" numFmtId="0">
      <sharedItems containsString="0" containsBlank="1" containsNumber="1" containsInteger="1" minValue="1" maxValue="69"/>
    </cacheField>
    <cacheField name="Ratings" numFmtId="0">
      <sharedItems containsString="0" containsBlank="1" containsNumber="1" minValue="2" maxValue="5"/>
    </cacheField>
    <cacheField name="Ratings Category" numFmtId="0">
      <sharedItems count="3">
        <s v="Average"/>
        <s v="Excellent"/>
        <s v="Poor"/>
      </sharedItems>
    </cacheField>
  </cacheFields>
  <extLst>
    <ext xmlns:x14="http://schemas.microsoft.com/office/spreadsheetml/2009/9/main" uri="{725AE2AE-9491-48be-B2B4-4EB974FC3084}">
      <x14:pivotCacheDefinition pivotCacheId="60089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32PCS Portable Cordless Drill Set With Cyclic Battery Drive -26 Variable Speed"/>
    <n v="3750"/>
    <n v="6143"/>
    <x v="0"/>
    <n v="2393"/>
    <n v="0.39"/>
    <x v="0"/>
    <n v="5"/>
    <n v="3"/>
    <x v="0"/>
  </r>
  <r>
    <s v="Konka Healty Electric Kettle, 24-hour Heat Preservation,1.5L,800W, White"/>
    <n v="3640"/>
    <n v="4588"/>
    <x v="0"/>
    <n v="948"/>
    <n v="0.21"/>
    <x v="0"/>
    <n v="1"/>
    <n v="5"/>
    <x v="1"/>
  </r>
  <r>
    <s v="Metal Wall Clock Silver Dial Crystal Jewelry Round Home Decoration Wall Clock"/>
    <n v="3546"/>
    <n v="3699"/>
    <x v="0"/>
    <n v="153"/>
    <n v="0.04"/>
    <x v="1"/>
    <m/>
    <m/>
    <x v="2"/>
  </r>
  <r>
    <s v="220V 60W Electric Soldering Iron Kits With Tools, Tips, And Multimeter"/>
    <n v="2999"/>
    <n v="3290"/>
    <x v="0"/>
    <n v="291"/>
    <n v="0.09"/>
    <x v="1"/>
    <n v="15"/>
    <n v="4"/>
    <x v="0"/>
  </r>
  <r>
    <s v="LED Wall Digital Alarm Clock Study Home 12 / 24H Clock Calendar"/>
    <n v="2999"/>
    <n v="3699"/>
    <x v="0"/>
    <n v="700"/>
    <n v="0.19"/>
    <x v="1"/>
    <n v="5"/>
    <n v="4.5999999999999996"/>
    <x v="1"/>
  </r>
  <r>
    <s v="Portable Wardrobe Nonwoven With 3 Hanging Rods And 6 Storage Shelves"/>
    <n v="2880"/>
    <n v="3520"/>
    <x v="0"/>
    <n v="640"/>
    <n v="0.18"/>
    <x v="1"/>
    <n v="12"/>
    <n v="3.8"/>
    <x v="0"/>
  </r>
  <r>
    <s v="12V 19500rpm Handheld Electric Angle Grinder Tool - UK - Yellow/Black"/>
    <n v="2799"/>
    <n v="3810"/>
    <x v="0"/>
    <n v="1011"/>
    <n v="0.27"/>
    <x v="0"/>
    <m/>
    <m/>
    <x v="2"/>
  </r>
  <r>
    <s v="LASA Stainless Steel Double Wall Mount Soap Dispenser - 500ml"/>
    <n v="2750"/>
    <n v="4471"/>
    <x v="0"/>
    <n v="1721"/>
    <n v="0.38"/>
    <x v="0"/>
    <m/>
    <m/>
    <x v="2"/>
  </r>
  <r>
    <s v="137 Pieces Cake Decorating Tool Set Baking Supplies"/>
    <n v="2319"/>
    <n v="3032"/>
    <x v="0"/>
    <n v="713"/>
    <n v="0.24"/>
    <x v="0"/>
    <n v="55"/>
    <n v="4.5999999999999996"/>
    <x v="1"/>
  </r>
  <r>
    <s v="Large Lazy Inflatable Sofa Chairs PVC Lounger Seat Bag"/>
    <n v="2300"/>
    <n v="3240"/>
    <x v="0"/>
    <n v="940"/>
    <n v="0.28999999999999998"/>
    <x v="0"/>
    <n v="5"/>
    <n v="3"/>
    <x v="0"/>
  </r>
  <r>
    <s v="MultiFunctional Storage Rack Multi-layer Booelf"/>
    <n v="2200"/>
    <n v="4080"/>
    <x v="0"/>
    <n v="1880"/>
    <n v="0.46"/>
    <x v="2"/>
    <m/>
    <m/>
    <x v="2"/>
  </r>
  <r>
    <s v="Portable Mini Cordless Car Vacuum Cleaner - Blue"/>
    <n v="2199"/>
    <n v="2923"/>
    <x v="0"/>
    <n v="724"/>
    <n v="0.25"/>
    <x v="0"/>
    <n v="24"/>
    <n v="4.5999999999999996"/>
    <x v="1"/>
  </r>
  <r>
    <s v="5 Pieces/set Of Stainless Steel Induction Cooker Pots"/>
    <n v="2170"/>
    <n v="2500"/>
    <x v="0"/>
    <n v="330"/>
    <n v="0.13"/>
    <x v="1"/>
    <n v="6"/>
    <n v="2.5"/>
    <x v="2"/>
  </r>
  <r>
    <s v="Shower Cap Wide Elastic Band Cover Reusable Bashroom Cap"/>
    <n v="2132"/>
    <n v="2169"/>
    <x v="0"/>
    <n v="37"/>
    <n v="0.02"/>
    <x v="1"/>
    <m/>
    <m/>
    <x v="2"/>
  </r>
  <r>
    <s v="5-PCS Stainless Steel Cooking Pot Set With Steamed Slices"/>
    <n v="2115"/>
    <n v="4700"/>
    <x v="0"/>
    <n v="2585"/>
    <n v="0.55000000000000004"/>
    <x v="2"/>
    <n v="13"/>
    <n v="2.1"/>
    <x v="2"/>
  </r>
  <r>
    <s v="LASA 3 Tier Bamboo Shoe Bench Storage Shelf"/>
    <n v="2048"/>
    <n v="4500"/>
    <x v="0"/>
    <n v="2452"/>
    <n v="0.54"/>
    <x v="2"/>
    <n v="7"/>
    <n v="4.3"/>
    <x v="0"/>
  </r>
  <r>
    <s v="LASA Aluminum Folding Truck Hand Cart - 68kg Max"/>
    <n v="2025"/>
    <n v="3971"/>
    <x v="0"/>
    <n v="1946"/>
    <n v="0.49"/>
    <x v="2"/>
    <n v="3"/>
    <n v="5"/>
    <x v="1"/>
  </r>
  <r>
    <s v="53 Pieces/Set Yarn Knitting Crochet Hooks With Bag - Pansies"/>
    <n v="1980"/>
    <n v="2699"/>
    <x v="1"/>
    <n v="719"/>
    <n v="0.27"/>
    <x v="0"/>
    <n v="32"/>
    <n v="4.5"/>
    <x v="1"/>
  </r>
  <r>
    <s v="1/2/3 Seater Elastic Sofa Cover,Living Room Home Decor Chair Cover-Grey"/>
    <n v="1980"/>
    <n v="3200"/>
    <x v="1"/>
    <n v="1220"/>
    <n v="0.38"/>
    <x v="0"/>
    <n v="2"/>
    <n v="4.5"/>
    <x v="1"/>
  </r>
  <r>
    <s v="53Pcs/Set Yarn Knitting Crochet Hooks With Bag - Fortune Cat"/>
    <n v="1940"/>
    <n v="2650"/>
    <x v="1"/>
    <n v="710"/>
    <n v="0.27"/>
    <x v="0"/>
    <n v="2"/>
    <n v="4.7"/>
    <x v="1"/>
  </r>
  <r>
    <s v="24 Grid Wall-mounted Sundries Organiser Fabric Closet Bag Storage Rack"/>
    <n v="1875"/>
    <n v="1899"/>
    <x v="1"/>
    <n v="24"/>
    <n v="0.01"/>
    <x v="1"/>
    <m/>
    <m/>
    <x v="2"/>
  </r>
  <r>
    <s v="4pcs Bathroom/Kitchen Towel Rack,Roll Paper Holder,Towel Bars,Hook"/>
    <n v="1860"/>
    <n v="3220"/>
    <x v="1"/>
    <n v="1360"/>
    <n v="0.42"/>
    <x v="2"/>
    <m/>
    <m/>
    <x v="2"/>
  </r>
  <r>
    <s v="LED Eye Protection  Desk Lamp , Study, Reading, USB Fan - Double Pen Holder"/>
    <n v="1820"/>
    <n v="3490"/>
    <x v="1"/>
    <n v="1670"/>
    <n v="0.48"/>
    <x v="2"/>
    <n v="9"/>
    <n v="4.3"/>
    <x v="0"/>
  </r>
  <r>
    <s v="Thickening Multipurpose Non Stick Easy To Clean Heat Resistant Spoon Pad"/>
    <n v="1768"/>
    <n v="1799"/>
    <x v="1"/>
    <n v="31"/>
    <n v="0.02"/>
    <x v="1"/>
    <m/>
    <m/>
    <x v="2"/>
  </r>
  <r>
    <s v="52 Pieces Cake Decorating Tool Set Gift Kit Baking Supplies"/>
    <n v="1758"/>
    <n v="2499"/>
    <x v="1"/>
    <n v="741"/>
    <n v="0.3"/>
    <x v="0"/>
    <n v="2"/>
    <n v="4.0999999999999996"/>
    <x v="0"/>
  </r>
  <r>
    <s v="Portable Home Small Air Humidifier 3-Speed Fan - Green"/>
    <n v="1740"/>
    <n v="2356"/>
    <x v="1"/>
    <n v="616"/>
    <n v="0.26"/>
    <x v="0"/>
    <n v="5"/>
    <n v="4.8"/>
    <x v="1"/>
  </r>
  <r>
    <s v="Cushion Silicone Butt Cushion Summer Ice Cushion Honeycomb Gel Cushion"/>
    <n v="1732"/>
    <n v="1799"/>
    <x v="1"/>
    <n v="67"/>
    <n v="0.04"/>
    <x v="1"/>
    <m/>
    <m/>
    <x v="2"/>
  </r>
  <r>
    <s v="Multifunction Laser Level With Adjustment Tripod"/>
    <n v="1680"/>
    <n v="2499"/>
    <x v="1"/>
    <n v="819"/>
    <n v="0.33"/>
    <x v="0"/>
    <n v="9"/>
    <n v="4.2"/>
    <x v="0"/>
  </r>
  <r>
    <s v="2 Pairs Cowhide Split Leather Work Gloves.32â„‰ Or Above Welding Gloves"/>
    <n v="1666"/>
    <n v="1699"/>
    <x v="1"/>
    <n v="33"/>
    <n v="0.02"/>
    <x v="1"/>
    <m/>
    <m/>
    <x v="2"/>
  </r>
  <r>
    <s v="Pen Grips For Kids Pen Grip Posture Correction Tool For Kids"/>
    <n v="1660"/>
    <n v="1699"/>
    <x v="1"/>
    <n v="39"/>
    <n v="0.02"/>
    <x v="1"/>
    <m/>
    <m/>
    <x v="2"/>
  </r>
  <r>
    <s v="Shower Nozzle Cleaning Unclogging Needle Mini Crevice Small Hole Cleaning Brush"/>
    <n v="1658"/>
    <n v="1699"/>
    <x v="1"/>
    <n v="41"/>
    <n v="0.02"/>
    <x v="1"/>
    <m/>
    <m/>
    <x v="2"/>
  </r>
  <r>
    <s v="Foldable Overbed Table/Desk"/>
    <n v="1650"/>
    <n v="2150"/>
    <x v="1"/>
    <n v="500"/>
    <n v="0.23"/>
    <x v="0"/>
    <n v="14"/>
    <n v="4.4000000000000004"/>
    <x v="0"/>
  </r>
  <r>
    <s v="DIY File Folder, Office Drawer File Holder, Pen Holder, Desktop Storage Rack"/>
    <n v="1620"/>
    <n v="2690"/>
    <x v="1"/>
    <n v="1070"/>
    <n v="0.4"/>
    <x v="0"/>
    <n v="1"/>
    <n v="5"/>
    <x v="1"/>
  </r>
  <r>
    <s v="13 In 1 Home Repair Tools Box Kit Set"/>
    <n v="1600"/>
    <n v="2929"/>
    <x v="1"/>
    <n v="1329"/>
    <n v="0.45"/>
    <x v="2"/>
    <n v="5"/>
    <n v="3.8"/>
    <x v="0"/>
  </r>
  <r>
    <s v="Weighing Scale Digital Bathroom Body Fat Scale USB-Black"/>
    <n v="1580"/>
    <n v="2499"/>
    <x v="1"/>
    <n v="919"/>
    <n v="0.37"/>
    <x v="0"/>
    <n v="7"/>
    <n v="4.7"/>
    <x v="1"/>
  </r>
  <r>
    <s v="Electric LED UV Mosquito Killer Lamp, Outdoor/Indoor Fly Killer Trap Light -USB"/>
    <n v="1570"/>
    <n v="2988"/>
    <x v="1"/>
    <n v="1418"/>
    <n v="0.47"/>
    <x v="2"/>
    <n v="7"/>
    <n v="2.1"/>
    <x v="2"/>
  </r>
  <r>
    <s v="Wall Mount Automatic Toothpaste Dispenser Toothbrush Holder Toothpaste Squeezer"/>
    <n v="1526"/>
    <n v="1660"/>
    <x v="1"/>
    <n v="134"/>
    <n v="0.08"/>
    <x v="1"/>
    <m/>
    <m/>
    <x v="2"/>
  </r>
  <r>
    <s v="Wall-Mounted Toothbrush Toothpaste Holder With Multiple Slots"/>
    <n v="1468"/>
    <n v="1699"/>
    <x v="1"/>
    <n v="231"/>
    <n v="0.14000000000000001"/>
    <x v="1"/>
    <m/>
    <m/>
    <x v="2"/>
  </r>
  <r>
    <s v="Office Chair Lumbar Back Support Spine Posture Correction Pillow Car Cushion"/>
    <n v="1466"/>
    <n v="1699"/>
    <x v="1"/>
    <n v="233"/>
    <n v="0.14000000000000001"/>
    <x v="1"/>
    <m/>
    <m/>
    <x v="2"/>
  </r>
  <r>
    <s v="Portable Soap Dispenser Kitchen Detergent Press Box Kitchen Tools"/>
    <n v="1462"/>
    <n v="1499"/>
    <x v="1"/>
    <n v="37"/>
    <n v="0.02"/>
    <x v="1"/>
    <m/>
    <m/>
    <x v="2"/>
  </r>
  <r>
    <s v="5m Waterproof Spherical LED String Lights Outdoor Ball Chain Lights Party Lighting Decoration Adjustable"/>
    <n v="1460"/>
    <n v="2290"/>
    <x v="1"/>
    <n v="830"/>
    <n v="0.36"/>
    <x v="0"/>
    <m/>
    <m/>
    <x v="2"/>
  </r>
  <r>
    <s v="Multi-purpose Rice Drainage Basket And Fruit And Vegetable Drainage Sieve"/>
    <n v="1459"/>
    <n v="1499"/>
    <x v="1"/>
    <n v="40"/>
    <n v="0.03"/>
    <x v="1"/>
    <m/>
    <m/>
    <x v="2"/>
  </r>
  <r>
    <s v="9pcs Gas Mask, For Painting, Dust, Formaldehyde Grinding, Polishing"/>
    <n v="1420"/>
    <n v="2420"/>
    <x v="1"/>
    <n v="1000"/>
    <n v="0.41"/>
    <x v="2"/>
    <m/>
    <m/>
    <x v="2"/>
  </r>
  <r>
    <s v="12 Litre Black Insulated Lunch Box"/>
    <n v="1350"/>
    <n v="1990"/>
    <x v="1"/>
    <n v="640"/>
    <n v="0.32"/>
    <x v="0"/>
    <n v="13"/>
    <n v="3.8"/>
    <x v="0"/>
  </r>
  <r>
    <s v="Portable Wine Table With Folding Round Table"/>
    <n v="1300"/>
    <n v="2500"/>
    <x v="1"/>
    <n v="1200"/>
    <n v="0.48"/>
    <x v="2"/>
    <m/>
    <m/>
    <x v="2"/>
  </r>
  <r>
    <s v="LASA FOLDING TABLE SERVING STAND"/>
    <n v="1274"/>
    <n v="2800"/>
    <x v="1"/>
    <n v="1526"/>
    <n v="0.55000000000000004"/>
    <x v="2"/>
    <n v="5"/>
    <n v="4.8"/>
    <x v="1"/>
  </r>
  <r>
    <s v="VIC Wireless Vacuum Cleaner Dual Use For Home And Car 120W High Power Powerful"/>
    <n v="1220"/>
    <n v="1555"/>
    <x v="1"/>
    <n v="335"/>
    <n v="0.22"/>
    <x v="0"/>
    <n v="16"/>
    <n v="2.9"/>
    <x v="2"/>
  </r>
  <r>
    <s v="2pcs Solar Street Light Flood Light Outdoor"/>
    <n v="1200"/>
    <n v="1950"/>
    <x v="1"/>
    <n v="750"/>
    <n v="0.38"/>
    <x v="0"/>
    <m/>
    <m/>
    <x v="2"/>
  </r>
  <r>
    <s v="2PCS Ice Silk Square Cushion Cover Pillowcases - 65x65cm"/>
    <n v="1200"/>
    <n v="2400"/>
    <x v="1"/>
    <n v="1200"/>
    <n v="0.5"/>
    <x v="2"/>
    <m/>
    <m/>
    <x v="2"/>
  </r>
  <r>
    <s v="60W Hot Melt Glue Sprayer - Efficient And Stable Glue Dispensing"/>
    <n v="1190"/>
    <n v="1785"/>
    <x v="1"/>
    <n v="595"/>
    <n v="0.33"/>
    <x v="0"/>
    <m/>
    <m/>
    <x v="2"/>
  </r>
  <r>
    <s v="Cartoon Embroidered Mini Towel Bear Cotton Wash Cloth Hand 4pcs"/>
    <n v="1190"/>
    <n v="1810"/>
    <x v="1"/>
    <n v="620"/>
    <n v="0.34"/>
    <x v="0"/>
    <m/>
    <m/>
    <x v="2"/>
  </r>
  <r>
    <s v="Memory Foam Neck Pillow Cover, With Pillow Core - 50*30cm"/>
    <n v="1189"/>
    <n v="2199"/>
    <x v="1"/>
    <n v="1010"/>
    <n v="0.46"/>
    <x v="2"/>
    <n v="1"/>
    <n v="3"/>
    <x v="0"/>
  </r>
  <r>
    <s v="LED Solar Street Light-fake Camera"/>
    <n v="1150"/>
    <n v="1737"/>
    <x v="1"/>
    <n v="587"/>
    <n v="0.34"/>
    <x v="0"/>
    <m/>
    <m/>
    <x v="2"/>
  </r>
  <r>
    <s v="8in1 Screwdriver With LED Light"/>
    <n v="1080"/>
    <n v="1874"/>
    <x v="1"/>
    <n v="794"/>
    <n v="0.42"/>
    <x v="2"/>
    <m/>
    <m/>
    <x v="2"/>
  </r>
  <r>
    <s v="380ML USB Rechargeable Portable Small Blenders And Juicers"/>
    <n v="1000"/>
    <n v="2000"/>
    <x v="1"/>
    <n v="1000"/>
    <n v="0.5"/>
    <x v="2"/>
    <n v="7"/>
    <n v="2.2999999999999998"/>
    <x v="2"/>
  </r>
  <r>
    <s v="Christmas Elk Fence Yard Lawn Decorations Cute For Holidays"/>
    <n v="999"/>
    <n v="2000"/>
    <x v="2"/>
    <n v="1001"/>
    <n v="0.5"/>
    <x v="2"/>
    <m/>
    <m/>
    <x v="2"/>
  </r>
  <r>
    <s v="3D Waterproof EVA Plastic Shower Curtain 1.8*2Mtrs"/>
    <n v="998"/>
    <n v="1966"/>
    <x v="2"/>
    <n v="968"/>
    <n v="0.49"/>
    <x v="2"/>
    <n v="44"/>
    <n v="4.5999999999999996"/>
    <x v="1"/>
  </r>
  <r>
    <s v="100 Pcs Crochet Hook Tool Set Knitting Hook Set With Box"/>
    <n v="990"/>
    <n v="1500"/>
    <x v="2"/>
    <n v="510"/>
    <n v="0.34"/>
    <x v="0"/>
    <n v="39"/>
    <n v="4.7"/>
    <x v="1"/>
  </r>
  <r>
    <s v="Artificial Potted Flowers Room Decorative Flowers (2 Pieces)"/>
    <n v="990"/>
    <n v="1814"/>
    <x v="2"/>
    <n v="824"/>
    <n v="0.45"/>
    <x v="2"/>
    <n v="6"/>
    <n v="2.2000000000000002"/>
    <x v="2"/>
  </r>
  <r>
    <s v="Desk Foldable Fan Adjustable Fan Strong Wind 3 Gear Usb"/>
    <n v="988"/>
    <n v="1580"/>
    <x v="2"/>
    <n v="592"/>
    <n v="0.37"/>
    <x v="0"/>
    <n v="2"/>
    <n v="4"/>
    <x v="0"/>
  </r>
  <r>
    <s v="12 Litre Insulated Lunch Box Grey"/>
    <n v="980"/>
    <n v="1490"/>
    <x v="2"/>
    <n v="510"/>
    <n v="0.34"/>
    <x v="0"/>
    <n v="12"/>
    <n v="4.7"/>
    <x v="1"/>
  </r>
  <r>
    <s v="Bedroom Simple Floor Hanging Clothes Rack Single Pole Hat Rack - White"/>
    <n v="979"/>
    <n v="1920"/>
    <x v="2"/>
    <n v="941"/>
    <n v="0.49"/>
    <x v="2"/>
    <n v="1"/>
    <n v="5"/>
    <x v="1"/>
  </r>
  <r>
    <s v="7-piece Set Of Storage Bags, Travel Storage Bags, Shoe Bags"/>
    <n v="968"/>
    <n v="1814"/>
    <x v="2"/>
    <n v="846"/>
    <n v="0.47"/>
    <x v="2"/>
    <n v="6"/>
    <n v="2.2000000000000002"/>
    <x v="2"/>
  </r>
  <r>
    <s v="115  Piece Set Of Multifunctional Precision Screwdrivers"/>
    <n v="950"/>
    <n v="1525"/>
    <x v="2"/>
    <n v="575"/>
    <n v="0.38"/>
    <x v="0"/>
    <n v="2"/>
    <n v="4.5"/>
    <x v="1"/>
  </r>
  <r>
    <s v="6 Layers Steel Pipe Assembling Dustproof Storage Shoe Cabinet"/>
    <n v="899"/>
    <n v="1699"/>
    <x v="2"/>
    <n v="800"/>
    <n v="0.47"/>
    <x v="2"/>
    <m/>
    <m/>
    <x v="2"/>
  </r>
  <r>
    <s v="LED Romantic Spaceship Starry Sky Projector,Children's Bedroom Night Light-Blue"/>
    <n v="880"/>
    <n v="1350"/>
    <x v="2"/>
    <n v="470"/>
    <n v="0.35"/>
    <x v="0"/>
    <n v="6"/>
    <n v="4"/>
    <x v="0"/>
  </r>
  <r>
    <s v="Wall Clock With Hidden Safe Box"/>
    <n v="850"/>
    <n v="1700"/>
    <x v="2"/>
    <n v="850"/>
    <n v="0.5"/>
    <x v="2"/>
    <m/>
    <m/>
    <x v="2"/>
  </r>
  <r>
    <s v="Genebre 115 In 1 Screwdriver Repairing Tool Set For IPhone Cellphone Hand Tool"/>
    <n v="799"/>
    <n v="999"/>
    <x v="2"/>
    <n v="200"/>
    <n v="0.2"/>
    <x v="0"/>
    <n v="12"/>
    <n v="4.0999999999999996"/>
    <x v="0"/>
  </r>
  <r>
    <s v="Cute Christmas Fence Garden Decorations For Holiday Home"/>
    <n v="799"/>
    <n v="1343"/>
    <x v="2"/>
    <n v="544"/>
    <n v="0.41"/>
    <x v="2"/>
    <m/>
    <m/>
    <x v="2"/>
  </r>
  <r>
    <s v="Angle Measuring Tool Full Metal Multi Angle Measuring Tool"/>
    <n v="799"/>
    <n v="1567"/>
    <x v="2"/>
    <n v="768"/>
    <n v="0.49"/>
    <x v="2"/>
    <m/>
    <m/>
    <x v="2"/>
  </r>
  <r>
    <s v="Outdoor Portable Water Bottle With Medicine Box - 600ML - Black"/>
    <n v="799"/>
    <n v="900"/>
    <x v="2"/>
    <n v="101"/>
    <n v="0.11"/>
    <x v="1"/>
    <m/>
    <m/>
    <x v="2"/>
  </r>
  <r>
    <s v="2PCS/LOT Solar LED Outdoor Intelligent Light Controlled Wall Lamp"/>
    <n v="790"/>
    <n v="1485"/>
    <x v="2"/>
    <n v="695"/>
    <n v="0.47"/>
    <x v="2"/>
    <m/>
    <m/>
    <x v="2"/>
  </r>
  <r>
    <s v="Christmas Fence Garden Decorations Outdoor For Holiday Home"/>
    <n v="699"/>
    <n v="1343"/>
    <x v="2"/>
    <n v="644"/>
    <n v="0.48"/>
    <x v="2"/>
    <m/>
    <m/>
    <x v="2"/>
  </r>
  <r>
    <s v="3PCS Rotary Scraper Thermomix For Kitchen"/>
    <n v="690"/>
    <n v="1200"/>
    <x v="2"/>
    <n v="510"/>
    <n v="0.43"/>
    <x v="2"/>
    <m/>
    <m/>
    <x v="2"/>
  </r>
  <r>
    <s v="Car Phone Charging Stand"/>
    <n v="671"/>
    <n v="1316"/>
    <x v="2"/>
    <n v="645"/>
    <n v="0.49"/>
    <x v="2"/>
    <m/>
    <m/>
    <x v="2"/>
  </r>
  <r>
    <s v="Angle Measuring Tool Full Metal Multi Angle Measuring Tool"/>
    <n v="657"/>
    <n v="1288"/>
    <x v="2"/>
    <n v="631"/>
    <n v="0.49"/>
    <x v="2"/>
    <m/>
    <m/>
    <x v="2"/>
  </r>
  <r>
    <s v="Multifunctional Hanging Storage Box Storage Bag (4 Layers)"/>
    <n v="630"/>
    <n v="1100"/>
    <x v="2"/>
    <n v="470"/>
    <n v="0.43"/>
    <x v="2"/>
    <m/>
    <m/>
    <x v="2"/>
  </r>
  <r>
    <s v="Balloon Insert, Birthday Party Balloon Set, PU Leather"/>
    <n v="610"/>
    <n v="1060"/>
    <x v="2"/>
    <n v="450"/>
    <n v="0.42"/>
    <x v="2"/>
    <m/>
    <m/>
    <x v="2"/>
  </r>
  <r>
    <s v="40cm Gold DIY Acrylic Wall Sticker Clock"/>
    <n v="552"/>
    <n v="1035"/>
    <x v="2"/>
    <n v="483"/>
    <n v="0.47"/>
    <x v="2"/>
    <n v="12"/>
    <n v="4.8"/>
    <x v="1"/>
  </r>
  <r>
    <s v="Metal Decorative Hooks Key Hangers Entryway Wall Hooks Towel Hooks - Home"/>
    <n v="527"/>
    <n v="999"/>
    <x v="2"/>
    <n v="472"/>
    <n v="0.47"/>
    <x v="2"/>
    <n v="14"/>
    <n v="4.0999999999999996"/>
    <x v="0"/>
  </r>
  <r>
    <s v="Baby Early Education Shape And Color Cognitive Training Toys"/>
    <n v="525"/>
    <n v="1029"/>
    <x v="2"/>
    <n v="504"/>
    <n v="0.49"/>
    <x v="2"/>
    <m/>
    <m/>
    <x v="2"/>
  </r>
  <r>
    <s v="Wrought Iron Bathroom Shelf Wall Mounted Free Punch Toilet Rack"/>
    <n v="509"/>
    <n v="899"/>
    <x v="2"/>
    <n v="390"/>
    <n v="0.43"/>
    <x v="2"/>
    <n v="5"/>
    <n v="3"/>
    <x v="0"/>
  </r>
  <r>
    <s v="LASA Digital Thermometer And Hydrometer"/>
    <n v="501"/>
    <n v="860"/>
    <x v="2"/>
    <n v="359"/>
    <n v="0.42"/>
    <x v="2"/>
    <n v="6"/>
    <n v="4.5"/>
    <x v="1"/>
  </r>
  <r>
    <s v="Simple Metal Dog Art Sculpture Decoration For Home Office"/>
    <n v="499"/>
    <n v="900"/>
    <x v="2"/>
    <n v="401"/>
    <n v="0.45"/>
    <x v="2"/>
    <m/>
    <m/>
    <x v="2"/>
  </r>
  <r>
    <s v="4M Float Switch Water Level Controller -Water Tank"/>
    <n v="475"/>
    <n v="931"/>
    <x v="2"/>
    <n v="456"/>
    <n v="0.49"/>
    <x v="2"/>
    <m/>
    <m/>
    <x v="2"/>
  </r>
  <r>
    <s v="Mythco 120COB Solar Wall Ligt With Motion Sensor And Remote Control 3 Modes"/>
    <n v="458"/>
    <n v="986"/>
    <x v="2"/>
    <n v="528"/>
    <n v="0.54"/>
    <x v="2"/>
    <n v="1"/>
    <n v="3"/>
    <x v="0"/>
  </r>
  <r>
    <s v="Wall-mounted Sticker Punch-free Plug Fixer"/>
    <n v="450"/>
    <n v="900"/>
    <x v="2"/>
    <n v="450"/>
    <n v="0.5"/>
    <x v="2"/>
    <n v="1"/>
    <n v="2"/>
    <x v="2"/>
  </r>
  <r>
    <s v="120W Cordless Vacuum Cleaners Handheld Electric Vacuum Cleaner"/>
    <n v="445"/>
    <n v="873"/>
    <x v="2"/>
    <n v="428"/>
    <n v="0.49"/>
    <x v="2"/>
    <n v="69"/>
    <n v="2.8"/>
    <x v="2"/>
  </r>
  <r>
    <s v="Electronic Digital Display Vernier Caliper"/>
    <n v="420"/>
    <n v="647"/>
    <x v="2"/>
    <n v="227"/>
    <n v="0.35"/>
    <x v="0"/>
    <n v="49"/>
    <n v="4.5999999999999996"/>
    <x v="1"/>
  </r>
  <r>
    <s v="Simple Metal Dog Art Sculpture Decoration For Home Office"/>
    <n v="399"/>
    <n v="896"/>
    <x v="2"/>
    <n v="497"/>
    <n v="0.55000000000000004"/>
    <x v="2"/>
    <m/>
    <m/>
    <x v="2"/>
  </r>
  <r>
    <s v="Punch-free Great Load Bearing Bathroom Storage Rack Wall Shelf-White"/>
    <n v="389"/>
    <n v="656"/>
    <x v="2"/>
    <n v="267"/>
    <n v="0.41"/>
    <x v="2"/>
    <n v="36"/>
    <n v="4.3"/>
    <x v="0"/>
  </r>
  <r>
    <s v="Agapeon Toothbrush Holder And Toothpaste Dispenser"/>
    <n v="382"/>
    <n v="700"/>
    <x v="2"/>
    <n v="318"/>
    <n v="0.45"/>
    <x v="2"/>
    <n v="17"/>
    <n v="2.6"/>
    <x v="2"/>
  </r>
  <r>
    <s v="Watercolour Gold Foil Textured Print Pillow Cover"/>
    <n v="345"/>
    <n v="602"/>
    <x v="2"/>
    <n v="257"/>
    <n v="0.43"/>
    <x v="2"/>
    <n v="6"/>
    <n v="2.2999999999999998"/>
    <x v="2"/>
  </r>
  <r>
    <s v="Anti-Skid Absorbent Insulation Coaster  For Home Office"/>
    <n v="332"/>
    <n v="684"/>
    <x v="2"/>
    <n v="352"/>
    <n v="0.51"/>
    <x v="2"/>
    <n v="2"/>
    <n v="5"/>
    <x v="1"/>
  </r>
  <r>
    <s v="Household Pineapple Peeler Peeler"/>
    <n v="330"/>
    <n v="647"/>
    <x v="2"/>
    <n v="317"/>
    <n v="0.49"/>
    <x v="2"/>
    <n v="1"/>
    <n v="4"/>
    <x v="0"/>
  </r>
  <r>
    <s v="Intelligent  LED Body Sensor Wireless Lighting Night Light USB"/>
    <n v="325"/>
    <n v="680"/>
    <x v="2"/>
    <n v="355"/>
    <n v="0.52"/>
    <x v="2"/>
    <n v="15"/>
    <n v="2.7"/>
    <x v="2"/>
  </r>
  <r>
    <s v="Brush &amp; Paintbrush Cleaning Tool Pink"/>
    <n v="299"/>
    <n v="600"/>
    <x v="2"/>
    <n v="301"/>
    <n v="0.5"/>
    <x v="2"/>
    <m/>
    <m/>
    <x v="2"/>
  </r>
  <r>
    <s v="Pilates Cloth Bag Waterproof Durable High Capacity Purple"/>
    <n v="299"/>
    <n v="384"/>
    <x v="2"/>
    <n v="85"/>
    <n v="0.22"/>
    <x v="0"/>
    <m/>
    <m/>
    <x v="2"/>
  </r>
  <r>
    <s v="Cartoon Car Decoration Cute Individuality For Car Home Desk"/>
    <n v="274"/>
    <n v="537"/>
    <x v="2"/>
    <n v="263"/>
    <n v="0.49"/>
    <x v="2"/>
    <m/>
    <m/>
    <x v="2"/>
  </r>
  <r>
    <s v="4 Piece Coloured Stainless Steel Kitchenware Set"/>
    <n v="248"/>
    <n v="486"/>
    <x v="2"/>
    <n v="238"/>
    <n v="0.49"/>
    <x v="2"/>
    <m/>
    <m/>
    <x v="2"/>
  </r>
  <r>
    <s v="Modern Sofa Throw Pillow Cover-45x45cm-Blue&amp;Red"/>
    <n v="238"/>
    <n v="476"/>
    <x v="2"/>
    <n v="238"/>
    <n v="0.5"/>
    <x v="2"/>
    <m/>
    <m/>
    <x v="2"/>
  </r>
  <r>
    <s v="7PCS Silicone Thumb Knife Finger Protector Vegetable Harvesting Knife"/>
    <n v="230"/>
    <n v="450"/>
    <x v="2"/>
    <n v="220"/>
    <n v="0.49"/>
    <x v="2"/>
    <m/>
    <m/>
    <x v="2"/>
  </r>
  <r>
    <s v="Creative Owl Shape Keychain Black"/>
    <n v="199"/>
    <n v="504"/>
    <x v="2"/>
    <n v="305"/>
    <n v="0.61"/>
    <x v="2"/>
    <m/>
    <m/>
    <x v="2"/>
  </r>
  <r>
    <s v="6 In 1 Bottle Can Opener Multifunctional Easy Opener"/>
    <n v="199"/>
    <n v="553"/>
    <x v="2"/>
    <n v="354"/>
    <n v="0.64"/>
    <x v="2"/>
    <m/>
    <m/>
    <x v="2"/>
  </r>
  <r>
    <s v="1PC Refrigerator Food Seal Pocket Fridge Bags"/>
    <n v="198"/>
    <n v="260"/>
    <x v="2"/>
    <n v="62"/>
    <n v="0.24"/>
    <x v="0"/>
    <m/>
    <m/>
    <x v="2"/>
  </r>
  <r>
    <s v="Peacock  Throw Pillow Cushion Case For Home Car"/>
    <n v="195"/>
    <n v="360"/>
    <x v="2"/>
    <n v="165"/>
    <n v="0.46"/>
    <x v="2"/>
    <n v="2"/>
    <n v="5"/>
    <x v="1"/>
  </r>
  <r>
    <s v="Exfoliate And Exfoliate Face Towel - Black"/>
    <n v="185"/>
    <n v="382"/>
    <x v="2"/>
    <n v="197"/>
    <n v="0.52"/>
    <x v="2"/>
    <n v="9"/>
    <n v="4.3"/>
    <x v="0"/>
  </r>
  <r>
    <s v="Creative Owl Shape Keychain Black"/>
    <n v="176"/>
    <n v="345"/>
    <x v="2"/>
    <n v="169"/>
    <n v="0.49"/>
    <x v="2"/>
    <m/>
    <m/>
    <x v="2"/>
  </r>
  <r>
    <s v="Classic Black Cat Cotton Hemp Pillow Case For Home Car"/>
    <n v="171"/>
    <n v="360"/>
    <x v="2"/>
    <n v="189"/>
    <n v="0.53"/>
    <x v="2"/>
    <n v="2"/>
    <n v="5"/>
    <x v="1"/>
  </r>
  <r>
    <s v="Black Simple Water Cup Wine Coaster Anti Slip Absorbent"/>
    <n v="169"/>
    <n v="320"/>
    <x v="2"/>
    <n v="151"/>
    <n v="0.47"/>
    <x v="2"/>
    <m/>
    <m/>
    <x v="2"/>
  </r>
  <r>
    <s v="Sewing Machine Needle Threader Stitch Insertion Tool Automatic Quick Sewing"/>
    <n v="105"/>
    <n v="200"/>
    <x v="2"/>
    <n v="95"/>
    <n v="0.48"/>
    <x v="2"/>
    <m/>
    <m/>
    <x v="2"/>
  </r>
  <r>
    <s v="3PCS Single Head Knitting Crochet Sweater Needle Set"/>
    <n v="38"/>
    <n v="80"/>
    <x v="2"/>
    <n v="42"/>
    <n v="0.53"/>
    <x v="2"/>
    <n v="13"/>
    <n v="3.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42AF5E-BB9F-4253-BAA6-6FB0C120A644}" name="PivotTable15"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5:B29" firstHeaderRow="1" firstDataRow="1" firstDataCol="1"/>
  <pivotFields count="10">
    <pivotField showAll="0"/>
    <pivotField numFmtId="164" showAll="0"/>
    <pivotField numFmtId="164" showAll="0"/>
    <pivotField showAll="0"/>
    <pivotField numFmtId="164" showAll="0"/>
    <pivotField numFmtId="9" showAll="0"/>
    <pivotField axis="axisRow" showAll="0">
      <items count="4">
        <item x="2"/>
        <item x="1"/>
        <item x="0"/>
        <item t="default"/>
      </items>
    </pivotField>
    <pivotField dataField="1" showAll="0"/>
    <pivotField showAll="0"/>
    <pivotField showAll="0"/>
  </pivotFields>
  <rowFields count="1">
    <field x="6"/>
  </rowFields>
  <rowItems count="4">
    <i>
      <x/>
    </i>
    <i>
      <x v="1"/>
    </i>
    <i>
      <x v="2"/>
    </i>
    <i t="grand">
      <x/>
    </i>
  </rowItems>
  <colItems count="1">
    <i/>
  </colItems>
  <dataFields count="1">
    <dataField name="Sum of Review" fld="7" baseField="0" baseItem="0"/>
  </dataFields>
  <formats count="4">
    <format dxfId="3">
      <pivotArea field="6"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974500-1531-42DD-AC7D-A75EECB878F0}" name="PivotTable14"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9:B23" firstHeaderRow="1" firstDataRow="1" firstDataCol="1"/>
  <pivotFields count="10">
    <pivotField showAll="0"/>
    <pivotField numFmtId="164" showAll="0"/>
    <pivotField numFmtId="164" showAll="0"/>
    <pivotField axis="axisRow" showAll="0">
      <items count="4">
        <item x="0"/>
        <item x="2"/>
        <item x="1"/>
        <item t="default"/>
      </items>
    </pivotField>
    <pivotField numFmtId="164" showAll="0"/>
    <pivotField numFmtId="9" showAll="0"/>
    <pivotField showAll="0"/>
    <pivotField showAll="0"/>
    <pivotField dataField="1" showAll="0"/>
    <pivotField showAll="0"/>
  </pivotFields>
  <rowFields count="1">
    <field x="3"/>
  </rowFields>
  <rowItems count="4">
    <i>
      <x/>
    </i>
    <i>
      <x v="1"/>
    </i>
    <i>
      <x v="2"/>
    </i>
    <i t="grand">
      <x/>
    </i>
  </rowItems>
  <colItems count="1">
    <i/>
  </colItems>
  <dataFields count="1">
    <dataField name="Sum of Ratings" fld="8" baseField="0" baseItem="0"/>
  </dataFields>
  <formats count="3">
    <format dxfId="6">
      <pivotArea field="3" type="button" dataOnly="0" labelOnly="1" outline="0" axis="axisRow" fieldPosition="0"/>
    </format>
    <format dxfId="5">
      <pivotArea dataOnly="0" labelOnly="1" outline="0" axis="axisValues" fieldPosition="0"/>
    </format>
    <format dxfId="4">
      <pivotArea dataOnly="0" grandRow="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9DB249-8C04-40CC-AF25-7171A0DE8BA3}" name="PivotTable1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17" firstHeaderRow="1" firstDataRow="1" firstDataCol="1"/>
  <pivotFields count="10">
    <pivotField dataField="1" showAll="0"/>
    <pivotField numFmtId="164" showAll="0"/>
    <pivotField numFmtId="164" showAll="0"/>
    <pivotField axis="axisRow" showAll="0">
      <items count="4">
        <item x="0"/>
        <item x="2"/>
        <item x="1"/>
        <item t="default"/>
      </items>
    </pivotField>
    <pivotField numFmtId="164" showAll="0"/>
    <pivotField numFmtId="9" showAll="0"/>
    <pivotField showAll="0"/>
    <pivotField showAll="0"/>
    <pivotField showAll="0"/>
    <pivotField showAll="0"/>
  </pivotFields>
  <rowFields count="1">
    <field x="3"/>
  </rowFields>
  <rowItems count="4">
    <i>
      <x/>
    </i>
    <i>
      <x v="1"/>
    </i>
    <i>
      <x v="2"/>
    </i>
    <i t="grand">
      <x/>
    </i>
  </rowItems>
  <colItems count="1">
    <i/>
  </colItems>
  <dataFields count="1">
    <dataField name="Count of Product" fld="0" subtotal="count" baseField="0" baseItem="0"/>
  </dataFields>
  <formats count="4">
    <format dxfId="10">
      <pivotArea field="3" type="button" dataOnly="0" labelOnly="1" outline="0" axis="axisRow" fieldPosition="0"/>
    </format>
    <format dxfId="9">
      <pivotArea dataOnly="0" labelOnly="1" outline="0" axis="axisValues" fieldPosition="0"/>
    </format>
    <format dxfId="8">
      <pivotArea grandRow="1" outline="0" collapsedLevelsAreSubtotals="1" fieldPosition="0"/>
    </format>
    <format dxfId="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A8828C-0C4C-4F6A-A373-3FDB10BBC741}" name="PivotTable10"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7:B11" firstHeaderRow="1" firstDataRow="1" firstDataCol="1"/>
  <pivotFields count="10">
    <pivotField dataField="1" showAll="0"/>
    <pivotField numFmtId="164" showAll="0"/>
    <pivotField numFmtId="164" showAll="0"/>
    <pivotField showAll="0"/>
    <pivotField numFmtId="164" showAll="0"/>
    <pivotField numFmtId="9" showAll="0"/>
    <pivotField axis="axisRow" showAll="0">
      <items count="4">
        <item x="2"/>
        <item x="1"/>
        <item x="0"/>
        <item t="default"/>
      </items>
    </pivotField>
    <pivotField showAll="0"/>
    <pivotField showAll="0"/>
    <pivotField showAll="0"/>
  </pivotFields>
  <rowFields count="1">
    <field x="6"/>
  </rowFields>
  <rowItems count="4">
    <i>
      <x/>
    </i>
    <i>
      <x v="1"/>
    </i>
    <i>
      <x v="2"/>
    </i>
    <i t="grand">
      <x/>
    </i>
  </rowItems>
  <colItems count="1">
    <i/>
  </colItems>
  <dataFields count="1">
    <dataField name="Count of Product" fld="0" subtotal="count" baseField="0" baseItem="0"/>
  </dataFields>
  <formats count="3">
    <format dxfId="13">
      <pivotArea field="6" type="button" dataOnly="0" labelOnly="1" outline="0" axis="axisRow" fieldPosition="0"/>
    </format>
    <format dxfId="12">
      <pivotArea dataOnly="0" labelOnly="1" outline="0" axis="axisValues" fieldPosition="0"/>
    </format>
    <format dxfId="11">
      <pivotArea dataOnly="0" grandRow="1" fieldPosition="0"/>
    </format>
  </formats>
  <chartFormats count="5">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B6DFF-8E0A-4AAE-9480-1E80F62BA51D}" name="PivotTable7"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B5" firstHeaderRow="1" firstDataRow="1" firstDataCol="1"/>
  <pivotFields count="10">
    <pivotField dataField="1" showAll="0"/>
    <pivotField numFmtId="164" showAll="0"/>
    <pivotField numFmtId="164" showAll="0"/>
    <pivotField showAll="0">
      <items count="4">
        <item x="0"/>
        <item x="2"/>
        <item x="1"/>
        <item t="default"/>
      </items>
    </pivotField>
    <pivotField numFmtId="164" showAll="0"/>
    <pivotField numFmtId="9" showAll="0"/>
    <pivotField showAll="0">
      <items count="4">
        <item x="2"/>
        <item x="1"/>
        <item x="0"/>
        <item t="default"/>
      </items>
    </pivotField>
    <pivotField showAll="0"/>
    <pivotField showAll="0"/>
    <pivotField axis="axisRow" showAll="0">
      <items count="4">
        <item x="0"/>
        <item x="1"/>
        <item x="2"/>
        <item t="default"/>
      </items>
    </pivotField>
  </pivotFields>
  <rowFields count="1">
    <field x="9"/>
  </rowFields>
  <rowItems count="4">
    <i>
      <x/>
    </i>
    <i>
      <x v="1"/>
    </i>
    <i>
      <x v="2"/>
    </i>
    <i t="grand">
      <x/>
    </i>
  </rowItems>
  <colItems count="1">
    <i/>
  </colItems>
  <dataFields count="1">
    <dataField name="Count of Product" fld="0" subtotal="count" baseField="0" baseItem="0"/>
  </dataFields>
  <formats count="3">
    <format dxfId="16">
      <pivotArea field="9" type="button" dataOnly="0" labelOnly="1" outline="0" axis="axisRow" fieldPosition="0"/>
    </format>
    <format dxfId="15">
      <pivotArea dataOnly="0" labelOnly="1" outline="0" axis="axisValues" fieldPosition="0"/>
    </format>
    <format dxfId="14">
      <pivotArea dataOnly="0" grandRow="1" axis="axisRow" fieldPosition="0"/>
    </format>
  </formats>
  <chartFormats count="5">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9"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9A1F46D5-ED09-4926-9F9E-7A94E6954FBB}" sourceName="Price Category">
  <pivotTables>
    <pivotTable tabId="10" name="PivotTable7"/>
  </pivotTables>
  <data>
    <tabular pivotCacheId="6008924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C9F8BF53-0C06-4F21-A4AF-9E015F84CBFC}" sourceName="Discount Category">
  <pivotTables>
    <pivotTable tabId="10" name="PivotTable7"/>
  </pivotTables>
  <data>
    <tabular pivotCacheId="6008924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Category" xr10:uid="{7086B7A9-8FD6-4A19-A8E0-B21800DBB33D}" sourceName="Ratings Category">
  <pivotTables>
    <pivotTable tabId="10" name="PivotTable7"/>
  </pivotTables>
  <data>
    <tabular pivotCacheId="600892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37622C3F-E220-4606-A7FD-AC292A6ED5C9}" cache="Slicer_Price_Category" caption="Price Category" style="SlicerStyleDark6" rowHeight="241300"/>
  <slicer name="Discount Category" xr10:uid="{9355940C-389F-4430-B051-DF44CACE3D26}" cache="Slicer_Discount_Category" caption="Discount Category" style="SlicerStyleDark6" rowHeight="241300"/>
  <slicer name="Ratings Category" xr10:uid="{5C2CB938-A1AE-41F5-B084-091BA6BF5F3B}" cache="Slicer_Ratings_Category" caption="Ratings Categor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0D94F1DF-39FE-4DE4-9B35-6305986E9AED}" cache="Slicer_Price_Category" caption="Price Category" style="SlicerStyleDark6" rowHeight="241300"/>
  <slicer name="Discount Category 1" xr10:uid="{5BDAAB6F-6A38-4345-B84A-DAAB9335EDFA}" cache="Slicer_Discount_Category" caption="Discount Category" style="SlicerStyleDark6" rowHeight="241300"/>
  <slicer name="Ratings Category 1" xr10:uid="{06250319-0ECF-484C-A2BB-7BB06BA6DFCC}" cache="Slicer_Ratings_Category" caption="Ratings Category"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workbookViewId="0">
      <selection activeCell="J6" sqref="A1:XFD1048576"/>
    </sheetView>
  </sheetViews>
  <sheetFormatPr defaultRowHeight="15" x14ac:dyDescent="0.25"/>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6"/>
  <sheetViews>
    <sheetView workbookViewId="0">
      <pane ySplit="1" topLeftCell="A101" activePane="bottomLeft" state="frozen"/>
      <selection pane="bottomLeft" activeCell="A117" sqref="A117"/>
    </sheetView>
  </sheetViews>
  <sheetFormatPr defaultRowHeight="15" x14ac:dyDescent="0.25"/>
  <cols>
    <col min="1" max="1" width="69.28515625" customWidth="1"/>
    <col min="2" max="2" width="19.42578125" style="4" bestFit="1" customWidth="1"/>
    <col min="3" max="5" width="14" style="4" customWidth="1"/>
    <col min="6" max="6" width="8.7109375" bestFit="1" customWidth="1"/>
    <col min="7" max="7" width="17.28515625" bestFit="1" customWidth="1"/>
    <col min="8" max="8" width="9.85546875" bestFit="1" customWidth="1"/>
    <col min="9" max="9" width="10.7109375" bestFit="1" customWidth="1"/>
    <col min="10" max="10" width="18.140625" bestFit="1" customWidth="1"/>
  </cols>
  <sheetData>
    <row r="1" spans="1:10" x14ac:dyDescent="0.25">
      <c r="A1" s="2" t="s">
        <v>0</v>
      </c>
      <c r="B1" s="3" t="s">
        <v>1</v>
      </c>
      <c r="C1" s="3" t="s">
        <v>326</v>
      </c>
      <c r="D1" s="3" t="s">
        <v>329</v>
      </c>
      <c r="E1" s="3" t="s">
        <v>327</v>
      </c>
      <c r="F1" s="2" t="s">
        <v>3</v>
      </c>
      <c r="G1" s="2" t="s">
        <v>328</v>
      </c>
      <c r="H1" s="2" t="s">
        <v>4</v>
      </c>
      <c r="I1" s="2" t="s">
        <v>323</v>
      </c>
      <c r="J1" s="2" t="s">
        <v>344</v>
      </c>
    </row>
    <row r="2" spans="1:10" x14ac:dyDescent="0.25">
      <c r="A2" t="s">
        <v>85</v>
      </c>
      <c r="B2" s="4">
        <v>2048</v>
      </c>
      <c r="C2" s="4">
        <v>4500</v>
      </c>
      <c r="D2" s="4" t="str">
        <f>IF(B2&gt;=2000, "High Price",IF(B2&gt;=1000, "Medium Price", "Low Price"))</f>
        <v>High Price</v>
      </c>
      <c r="E2" s="4">
        <f>C2-B2</f>
        <v>2452</v>
      </c>
      <c r="F2" s="1">
        <v>0.54</v>
      </c>
      <c r="G2" s="1" t="str">
        <f>IF(F2&lt;20%, "Low Discount",IF(F2&lt;=40%, "Medium Discount", "High Discount"))</f>
        <v>High Discount</v>
      </c>
      <c r="H2">
        <v>7</v>
      </c>
      <c r="I2">
        <v>4.3</v>
      </c>
      <c r="J2" t="str">
        <f>IF(I2&lt;3,"Poor",IF(I2&gt;=4.5,"Excellent","Average"))</f>
        <v>Average</v>
      </c>
    </row>
    <row r="3" spans="1:10" x14ac:dyDescent="0.25">
      <c r="A3" t="s">
        <v>212</v>
      </c>
      <c r="B3" s="4">
        <v>3750</v>
      </c>
      <c r="C3" s="4">
        <v>6143</v>
      </c>
      <c r="D3" s="4" t="str">
        <f>IF(B3&gt;=2000, "High Price",IF(B3&gt;=1000, "Medium Price", "Low Price"))</f>
        <v>High Price</v>
      </c>
      <c r="E3" s="4">
        <f>C3-B3</f>
        <v>2393</v>
      </c>
      <c r="F3" s="1">
        <v>0.39</v>
      </c>
      <c r="G3" s="1" t="str">
        <f>IF(F3&lt;20%, "Low Discount",IF(F3&lt;=40%, "Medium Discount", "High Discount"))</f>
        <v>Medium Discount</v>
      </c>
      <c r="H3">
        <v>5</v>
      </c>
      <c r="I3">
        <v>3</v>
      </c>
      <c r="J3" t="str">
        <f>IF(I3&lt;3,"Poor",IF(I3&gt;=4.5,"Excellent","Average"))</f>
        <v>Average</v>
      </c>
    </row>
    <row r="4" spans="1:10" x14ac:dyDescent="0.25">
      <c r="A4" t="s">
        <v>218</v>
      </c>
      <c r="B4" s="4">
        <v>2300</v>
      </c>
      <c r="C4" s="4">
        <v>3240</v>
      </c>
      <c r="D4" s="4" t="str">
        <f>IF(B4&gt;=2000, "High Price",IF(B4&gt;=1000, "Medium Price", "Low Price"))</f>
        <v>High Price</v>
      </c>
      <c r="E4" s="4">
        <f>C4-B4</f>
        <v>940</v>
      </c>
      <c r="F4" s="1">
        <v>0.28999999999999998</v>
      </c>
      <c r="G4" s="1" t="str">
        <f>IF(F4&lt;20%, "Low Discount",IF(F4&lt;=40%, "Medium Discount", "High Discount"))</f>
        <v>Medium Discount</v>
      </c>
      <c r="H4">
        <v>5</v>
      </c>
      <c r="I4">
        <v>3</v>
      </c>
      <c r="J4" t="str">
        <f>IF(I4&lt;3,"Poor",IF(I4&gt;=4.5,"Excellent","Average"))</f>
        <v>Average</v>
      </c>
    </row>
    <row r="5" spans="1:10" x14ac:dyDescent="0.25">
      <c r="A5" t="s">
        <v>92</v>
      </c>
      <c r="B5" s="4">
        <v>2880</v>
      </c>
      <c r="C5" s="4">
        <v>3520</v>
      </c>
      <c r="D5" s="4" t="str">
        <f>IF(B5&gt;=2000, "High Price",IF(B5&gt;=1000, "Medium Price", "Low Price"))</f>
        <v>High Price</v>
      </c>
      <c r="E5" s="4">
        <f>C5-B5</f>
        <v>640</v>
      </c>
      <c r="F5" s="1">
        <v>0.18</v>
      </c>
      <c r="G5" s="1" t="str">
        <f>IF(F5&lt;20%, "Low Discount",IF(F5&lt;=40%, "Medium Discount", "High Discount"))</f>
        <v>Low Discount</v>
      </c>
      <c r="H5">
        <v>12</v>
      </c>
      <c r="I5">
        <v>3.8</v>
      </c>
      <c r="J5" t="str">
        <f>IF(I5&lt;3,"Poor",IF(I5&gt;=4.5,"Excellent","Average"))</f>
        <v>Average</v>
      </c>
    </row>
    <row r="6" spans="1:10" x14ac:dyDescent="0.25">
      <c r="A6" t="s">
        <v>26</v>
      </c>
      <c r="B6" s="4">
        <v>2999</v>
      </c>
      <c r="C6" s="4">
        <v>3290</v>
      </c>
      <c r="D6" s="4" t="str">
        <f>IF(B6&gt;=2000, "High Price",IF(B6&gt;=1000, "Medium Price", "Low Price"))</f>
        <v>High Price</v>
      </c>
      <c r="E6" s="4">
        <f>C6-B6</f>
        <v>291</v>
      </c>
      <c r="F6" s="1">
        <v>0.09</v>
      </c>
      <c r="G6" s="1" t="str">
        <f>IF(F6&lt;20%, "Low Discount",IF(F6&lt;=40%, "Medium Discount", "High Discount"))</f>
        <v>Low Discount</v>
      </c>
      <c r="H6">
        <v>15</v>
      </c>
      <c r="I6">
        <v>4</v>
      </c>
      <c r="J6" t="str">
        <f>IF(I6&lt;3,"Poor",IF(I6&gt;=4.5,"Excellent","Average"))</f>
        <v>Average</v>
      </c>
    </row>
    <row r="7" spans="1:10" x14ac:dyDescent="0.25">
      <c r="A7" t="s">
        <v>63</v>
      </c>
      <c r="B7" s="4">
        <v>2025</v>
      </c>
      <c r="C7" s="4">
        <v>3971</v>
      </c>
      <c r="D7" s="4" t="str">
        <f>IF(B7&gt;=2000, "High Price",IF(B7&gt;=1000, "Medium Price", "Low Price"))</f>
        <v>High Price</v>
      </c>
      <c r="E7" s="4">
        <f>C7-B7</f>
        <v>1946</v>
      </c>
      <c r="F7" s="1">
        <v>0.49</v>
      </c>
      <c r="G7" s="1" t="str">
        <f>IF(F7&lt;20%, "Low Discount",IF(F7&lt;=40%, "Medium Discount", "High Discount"))</f>
        <v>High Discount</v>
      </c>
      <c r="H7">
        <v>3</v>
      </c>
      <c r="I7">
        <v>5</v>
      </c>
      <c r="J7" t="str">
        <f>IF(I7&lt;3,"Poor",IF(I7&gt;=4.5,"Excellent","Average"))</f>
        <v>Excellent</v>
      </c>
    </row>
    <row r="8" spans="1:10" x14ac:dyDescent="0.25">
      <c r="A8" t="s">
        <v>14</v>
      </c>
      <c r="B8" s="4">
        <v>2199</v>
      </c>
      <c r="C8" s="4">
        <v>2923</v>
      </c>
      <c r="D8" s="4" t="str">
        <f>IF(B8&gt;=2000, "High Price",IF(B8&gt;=1000, "Medium Price", "Low Price"))</f>
        <v>High Price</v>
      </c>
      <c r="E8" s="4">
        <f>C8-B8</f>
        <v>724</v>
      </c>
      <c r="F8" s="1">
        <v>0.25</v>
      </c>
      <c r="G8" s="1" t="str">
        <f>IF(F8&lt;20%, "Low Discount",IF(F8&lt;=40%, "Medium Discount", "High Discount"))</f>
        <v>Medium Discount</v>
      </c>
      <c r="H8">
        <v>24</v>
      </c>
      <c r="I8">
        <v>4.5999999999999996</v>
      </c>
      <c r="J8" t="str">
        <f>IF(I8&lt;3,"Poor",IF(I8&gt;=4.5,"Excellent","Average"))</f>
        <v>Excellent</v>
      </c>
    </row>
    <row r="9" spans="1:10" x14ac:dyDescent="0.25">
      <c r="A9" t="s">
        <v>30</v>
      </c>
      <c r="B9" s="4">
        <v>2319</v>
      </c>
      <c r="C9" s="4">
        <v>3032</v>
      </c>
      <c r="D9" s="4" t="str">
        <f>IF(B9&gt;=2000, "High Price",IF(B9&gt;=1000, "Medium Price", "Low Price"))</f>
        <v>High Price</v>
      </c>
      <c r="E9" s="4">
        <f>C9-B9</f>
        <v>713</v>
      </c>
      <c r="F9" s="1">
        <v>0.24</v>
      </c>
      <c r="G9" s="1" t="str">
        <f>IF(F9&lt;20%, "Low Discount",IF(F9&lt;=40%, "Medium Discount", "High Discount"))</f>
        <v>Medium Discount</v>
      </c>
      <c r="H9">
        <v>55</v>
      </c>
      <c r="I9">
        <v>4.5999999999999996</v>
      </c>
      <c r="J9" t="str">
        <f>IF(I9&lt;3,"Poor",IF(I9&gt;=4.5,"Excellent","Average"))</f>
        <v>Excellent</v>
      </c>
    </row>
    <row r="10" spans="1:10" x14ac:dyDescent="0.25">
      <c r="A10" t="s">
        <v>295</v>
      </c>
      <c r="B10" s="4">
        <v>3640</v>
      </c>
      <c r="C10" s="4">
        <v>4588</v>
      </c>
      <c r="D10" s="4" t="str">
        <f>IF(B10&gt;=2000, "High Price",IF(B10&gt;=1000, "Medium Price", "Low Price"))</f>
        <v>High Price</v>
      </c>
      <c r="E10" s="4">
        <f>C10-B10</f>
        <v>948</v>
      </c>
      <c r="F10" s="1">
        <v>0.21</v>
      </c>
      <c r="G10" s="1" t="str">
        <f>IF(F10&lt;20%, "Low Discount",IF(F10&lt;=40%, "Medium Discount", "High Discount"))</f>
        <v>Medium Discount</v>
      </c>
      <c r="H10">
        <v>1</v>
      </c>
      <c r="I10">
        <v>5</v>
      </c>
      <c r="J10" t="str">
        <f>IF(I10&lt;3,"Poor",IF(I10&gt;=4.5,"Excellent","Average"))</f>
        <v>Excellent</v>
      </c>
    </row>
    <row r="11" spans="1:10" x14ac:dyDescent="0.25">
      <c r="A11" t="s">
        <v>66</v>
      </c>
      <c r="B11" s="4">
        <v>2999</v>
      </c>
      <c r="C11" s="4">
        <v>3699</v>
      </c>
      <c r="D11" s="4" t="str">
        <f>IF(B11&gt;=2000, "High Price",IF(B11&gt;=1000, "Medium Price", "Low Price"))</f>
        <v>High Price</v>
      </c>
      <c r="E11" s="4">
        <f>C11-B11</f>
        <v>700</v>
      </c>
      <c r="F11" s="1">
        <v>0.19</v>
      </c>
      <c r="G11" s="1" t="str">
        <f>IF(F11&lt;20%, "Low Discount",IF(F11&lt;=40%, "Medium Discount", "High Discount"))</f>
        <v>Low Discount</v>
      </c>
      <c r="H11">
        <v>5</v>
      </c>
      <c r="I11">
        <v>4.5999999999999996</v>
      </c>
      <c r="J11" t="str">
        <f>IF(I11&lt;3,"Poor",IF(I11&gt;=4.5,"Excellent","Average"))</f>
        <v>Excellent</v>
      </c>
    </row>
    <row r="12" spans="1:10" x14ac:dyDescent="0.25">
      <c r="A12" t="s">
        <v>190</v>
      </c>
      <c r="B12" s="4">
        <v>2115</v>
      </c>
      <c r="C12" s="4">
        <v>4700</v>
      </c>
      <c r="D12" s="4" t="str">
        <f>IF(B12&gt;=2000, "High Price",IF(B12&gt;=1000, "Medium Price", "Low Price"))</f>
        <v>High Price</v>
      </c>
      <c r="E12" s="4">
        <f>C12-B12</f>
        <v>2585</v>
      </c>
      <c r="F12" s="1">
        <v>0.55000000000000004</v>
      </c>
      <c r="G12" s="1" t="str">
        <f>IF(F12&lt;20%, "Low Discount",IF(F12&lt;=40%, "Medium Discount", "High Discount"))</f>
        <v>High Discount</v>
      </c>
      <c r="H12">
        <v>13</v>
      </c>
      <c r="I12">
        <v>2.1</v>
      </c>
      <c r="J12" t="str">
        <f>IF(I12&lt;3,"Poor",IF(I12&gt;=4.5,"Excellent","Average"))</f>
        <v>Poor</v>
      </c>
    </row>
    <row r="13" spans="1:10" x14ac:dyDescent="0.25">
      <c r="A13" t="s">
        <v>324</v>
      </c>
      <c r="B13" s="4">
        <v>2200</v>
      </c>
      <c r="C13" s="4">
        <v>4080</v>
      </c>
      <c r="D13" s="4" t="str">
        <f>IF(B13&gt;=2000, "High Price",IF(B13&gt;=1000, "Medium Price", "Low Price"))</f>
        <v>High Price</v>
      </c>
      <c r="E13" s="4">
        <f>C13-B13</f>
        <v>1880</v>
      </c>
      <c r="F13" s="1">
        <v>0.46</v>
      </c>
      <c r="G13" s="1" t="str">
        <f>IF(F13&lt;20%, "Low Discount",IF(F13&lt;=40%, "Medium Discount", "High Discount"))</f>
        <v>High Discount</v>
      </c>
      <c r="J13" t="str">
        <f>IF(I13&lt;3,"Poor",IF(I13&gt;=4.5,"Excellent","Average"))</f>
        <v>Poor</v>
      </c>
    </row>
    <row r="14" spans="1:10" x14ac:dyDescent="0.25">
      <c r="A14" t="s">
        <v>128</v>
      </c>
      <c r="B14" s="4">
        <v>2750</v>
      </c>
      <c r="C14" s="4">
        <v>4471</v>
      </c>
      <c r="D14" s="4" t="str">
        <f>IF(B14&gt;=2000, "High Price",IF(B14&gt;=1000, "Medium Price", "Low Price"))</f>
        <v>High Price</v>
      </c>
      <c r="E14" s="4">
        <f>C14-B14</f>
        <v>1721</v>
      </c>
      <c r="F14" s="1">
        <v>0.38</v>
      </c>
      <c r="G14" s="1" t="str">
        <f>IF(F14&lt;20%, "Low Discount",IF(F14&lt;=40%, "Medium Discount", "High Discount"))</f>
        <v>Medium Discount</v>
      </c>
      <c r="J14" t="str">
        <f>IF(I14&lt;3,"Poor",IF(I14&gt;=4.5,"Excellent","Average"))</f>
        <v>Poor</v>
      </c>
    </row>
    <row r="15" spans="1:10" x14ac:dyDescent="0.25">
      <c r="A15" t="s">
        <v>177</v>
      </c>
      <c r="B15" s="4">
        <v>2799</v>
      </c>
      <c r="C15" s="4">
        <v>3810</v>
      </c>
      <c r="D15" s="4" t="str">
        <f>IF(B15&gt;=2000, "High Price",IF(B15&gt;=1000, "Medium Price", "Low Price"))</f>
        <v>High Price</v>
      </c>
      <c r="E15" s="4">
        <f>C15-B15</f>
        <v>1011</v>
      </c>
      <c r="F15" s="1">
        <v>0.27</v>
      </c>
      <c r="G15" s="1" t="str">
        <f>IF(F15&lt;20%, "Low Discount",IF(F15&lt;=40%, "Medium Discount", "High Discount"))</f>
        <v>Medium Discount</v>
      </c>
      <c r="J15" t="str">
        <f>IF(I15&lt;3,"Poor",IF(I15&gt;=4.5,"Excellent","Average"))</f>
        <v>Poor</v>
      </c>
    </row>
    <row r="16" spans="1:10" x14ac:dyDescent="0.25">
      <c r="A16" t="s">
        <v>182</v>
      </c>
      <c r="B16" s="4">
        <v>2170</v>
      </c>
      <c r="C16" s="4">
        <v>2500</v>
      </c>
      <c r="D16" s="4" t="str">
        <f>IF(B16&gt;=2000, "High Price",IF(B16&gt;=1000, "Medium Price", "Low Price"))</f>
        <v>High Price</v>
      </c>
      <c r="E16" s="4">
        <f>C16-B16</f>
        <v>330</v>
      </c>
      <c r="F16" s="1">
        <v>0.13</v>
      </c>
      <c r="G16" s="1" t="str">
        <f>IF(F16&lt;20%, "Low Discount",IF(F16&lt;=40%, "Medium Discount", "High Discount"))</f>
        <v>Low Discount</v>
      </c>
      <c r="H16">
        <v>6</v>
      </c>
      <c r="I16">
        <v>2.5</v>
      </c>
      <c r="J16" t="str">
        <f>IF(I16&lt;3,"Poor",IF(I16&gt;=4.5,"Excellent","Average"))</f>
        <v>Poor</v>
      </c>
    </row>
    <row r="17" spans="1:10" x14ac:dyDescent="0.25">
      <c r="A17" t="s">
        <v>287</v>
      </c>
      <c r="B17" s="4">
        <v>3546</v>
      </c>
      <c r="C17" s="4">
        <v>3699</v>
      </c>
      <c r="D17" s="4" t="str">
        <f>IF(B17&gt;=2000, "High Price",IF(B17&gt;=1000, "Medium Price", "Low Price"))</f>
        <v>High Price</v>
      </c>
      <c r="E17" s="4">
        <f>C17-B17</f>
        <v>153</v>
      </c>
      <c r="F17" s="1">
        <v>0.04</v>
      </c>
      <c r="G17" s="1" t="str">
        <f>IF(F17&lt;20%, "Low Discount",IF(F17&lt;=40%, "Medium Discount", "High Discount"))</f>
        <v>Low Discount</v>
      </c>
      <c r="J17" t="str">
        <f>IF(I17&lt;3,"Poor",IF(I17&gt;=4.5,"Excellent","Average"))</f>
        <v>Poor</v>
      </c>
    </row>
    <row r="18" spans="1:10" x14ac:dyDescent="0.25">
      <c r="A18" t="s">
        <v>140</v>
      </c>
      <c r="B18" s="4">
        <v>2132</v>
      </c>
      <c r="C18" s="4">
        <v>2169</v>
      </c>
      <c r="D18" s="4" t="str">
        <f>IF(B18&gt;=2000, "High Price",IF(B18&gt;=1000, "Medium Price", "Low Price"))</f>
        <v>High Price</v>
      </c>
      <c r="E18" s="4">
        <f>C18-B18</f>
        <v>37</v>
      </c>
      <c r="F18" s="1">
        <v>0.02</v>
      </c>
      <c r="G18" s="1" t="str">
        <f>IF(F18&lt;20%, "Low Discount",IF(F18&lt;=40%, "Medium Discount", "High Discount"))</f>
        <v>Low Discount</v>
      </c>
      <c r="J18" t="str">
        <f>IF(I18&lt;3,"Poor",IF(I18&gt;=4.5,"Excellent","Average"))</f>
        <v>Poor</v>
      </c>
    </row>
    <row r="19" spans="1:10" x14ac:dyDescent="0.25">
      <c r="A19" t="s">
        <v>186</v>
      </c>
      <c r="B19" s="4">
        <v>458</v>
      </c>
      <c r="C19" s="4">
        <v>986</v>
      </c>
      <c r="D19" s="4" t="str">
        <f>IF(B19&gt;=2000, "High Price",IF(B19&gt;=1000, "Medium Price", "Low Price"))</f>
        <v>Low Price</v>
      </c>
      <c r="E19" s="4">
        <f>C19-B19</f>
        <v>528</v>
      </c>
      <c r="F19" s="1">
        <v>0.54</v>
      </c>
      <c r="G19" s="1" t="str">
        <f>IF(F19&lt;20%, "Low Discount",IF(F19&lt;=40%, "Medium Discount", "High Discount"))</f>
        <v>High Discount</v>
      </c>
      <c r="H19">
        <v>1</v>
      </c>
      <c r="I19">
        <v>3</v>
      </c>
      <c r="J19" t="str">
        <f>IF(I19&lt;3,"Poor",IF(I19&gt;=4.5,"Excellent","Average"))</f>
        <v>Average</v>
      </c>
    </row>
    <row r="20" spans="1:10" x14ac:dyDescent="0.25">
      <c r="A20" t="s">
        <v>71</v>
      </c>
      <c r="B20" s="4">
        <v>38</v>
      </c>
      <c r="C20" s="4">
        <v>80</v>
      </c>
      <c r="D20" s="4" t="str">
        <f>IF(B20&gt;=2000, "High Price",IF(B20&gt;=1000, "Medium Price", "Low Price"))</f>
        <v>Low Price</v>
      </c>
      <c r="E20" s="4">
        <f>C20-B20</f>
        <v>42</v>
      </c>
      <c r="F20" s="1">
        <v>0.53</v>
      </c>
      <c r="G20" s="1" t="str">
        <f>IF(F20&lt;20%, "Low Discount",IF(F20&lt;=40%, "Medium Discount", "High Discount"))</f>
        <v>High Discount</v>
      </c>
      <c r="H20">
        <v>13</v>
      </c>
      <c r="I20">
        <v>3.3</v>
      </c>
      <c r="J20" t="str">
        <f>IF(I20&lt;3,"Poor",IF(I20&gt;=4.5,"Excellent","Average"))</f>
        <v>Average</v>
      </c>
    </row>
    <row r="21" spans="1:10" x14ac:dyDescent="0.25">
      <c r="A21" t="s">
        <v>102</v>
      </c>
      <c r="B21" s="4">
        <v>185</v>
      </c>
      <c r="C21" s="4">
        <v>382</v>
      </c>
      <c r="D21" s="4" t="str">
        <f>IF(B21&gt;=2000, "High Price",IF(B21&gt;=1000, "Medium Price", "Low Price"))</f>
        <v>Low Price</v>
      </c>
      <c r="E21" s="4">
        <f>C21-B21</f>
        <v>197</v>
      </c>
      <c r="F21" s="1">
        <v>0.52</v>
      </c>
      <c r="G21" s="1" t="str">
        <f>IF(F21&lt;20%, "Low Discount",IF(F21&lt;=40%, "Medium Discount", "High Discount"))</f>
        <v>High Discount</v>
      </c>
      <c r="H21">
        <v>9</v>
      </c>
      <c r="I21">
        <v>4.3</v>
      </c>
      <c r="J21" t="str">
        <f>IF(I21&lt;3,"Poor",IF(I21&gt;=4.5,"Excellent","Average"))</f>
        <v>Average</v>
      </c>
    </row>
    <row r="22" spans="1:10" x14ac:dyDescent="0.25">
      <c r="A22" t="s">
        <v>253</v>
      </c>
      <c r="B22" s="4">
        <v>330</v>
      </c>
      <c r="C22" s="4">
        <v>647</v>
      </c>
      <c r="D22" s="4" t="str">
        <f>IF(B22&gt;=2000, "High Price",IF(B22&gt;=1000, "Medium Price", "Low Price"))</f>
        <v>Low Price</v>
      </c>
      <c r="E22" s="4">
        <f>C22-B22</f>
        <v>317</v>
      </c>
      <c r="F22" s="1">
        <v>0.49</v>
      </c>
      <c r="G22" s="1" t="str">
        <f>IF(F22&lt;20%, "Low Discount",IF(F22&lt;=40%, "Medium Discount", "High Discount"))</f>
        <v>High Discount</v>
      </c>
      <c r="H22">
        <v>1</v>
      </c>
      <c r="I22">
        <v>4</v>
      </c>
      <c r="J22" t="str">
        <f>IF(I22&lt;3,"Poor",IF(I22&gt;=4.5,"Excellent","Average"))</f>
        <v>Average</v>
      </c>
    </row>
    <row r="23" spans="1:10" x14ac:dyDescent="0.25">
      <c r="A23" t="s">
        <v>10</v>
      </c>
      <c r="B23" s="4">
        <v>527</v>
      </c>
      <c r="C23" s="4">
        <v>999</v>
      </c>
      <c r="D23" s="4" t="str">
        <f>IF(B23&gt;=2000, "High Price",IF(B23&gt;=1000, "Medium Price", "Low Price"))</f>
        <v>Low Price</v>
      </c>
      <c r="E23" s="4">
        <f>C23-B23</f>
        <v>472</v>
      </c>
      <c r="F23" s="1">
        <v>0.47</v>
      </c>
      <c r="G23" s="1" t="str">
        <f>IF(F23&lt;20%, "Low Discount",IF(F23&lt;=40%, "Medium Discount", "High Discount"))</f>
        <v>High Discount</v>
      </c>
      <c r="H23">
        <v>14</v>
      </c>
      <c r="I23">
        <v>4.0999999999999996</v>
      </c>
      <c r="J23" t="str">
        <f>IF(I23&lt;3,"Poor",IF(I23&gt;=4.5,"Excellent","Average"))</f>
        <v>Average</v>
      </c>
    </row>
    <row r="24" spans="1:10" x14ac:dyDescent="0.25">
      <c r="A24" t="s">
        <v>224</v>
      </c>
      <c r="B24" s="4">
        <v>509</v>
      </c>
      <c r="C24" s="4">
        <v>899</v>
      </c>
      <c r="D24" s="4" t="str">
        <f>IF(B24&gt;=2000, "High Price",IF(B24&gt;=1000, "Medium Price", "Low Price"))</f>
        <v>Low Price</v>
      </c>
      <c r="E24" s="4">
        <f>C24-B24</f>
        <v>390</v>
      </c>
      <c r="F24" s="1">
        <v>0.43</v>
      </c>
      <c r="G24" s="1" t="str">
        <f>IF(F24&lt;20%, "Low Discount",IF(F24&lt;=40%, "Medium Discount", "High Discount"))</f>
        <v>High Discount</v>
      </c>
      <c r="H24">
        <v>5</v>
      </c>
      <c r="I24">
        <v>3</v>
      </c>
      <c r="J24" t="str">
        <f>IF(I24&lt;3,"Poor",IF(I24&gt;=4.5,"Excellent","Average"))</f>
        <v>Average</v>
      </c>
    </row>
    <row r="25" spans="1:10" x14ac:dyDescent="0.25">
      <c r="A25" t="s">
        <v>122</v>
      </c>
      <c r="B25" s="4">
        <v>389</v>
      </c>
      <c r="C25" s="4">
        <v>656</v>
      </c>
      <c r="D25" s="4" t="str">
        <f>IF(B25&gt;=2000, "High Price",IF(B25&gt;=1000, "Medium Price", "Low Price"))</f>
        <v>Low Price</v>
      </c>
      <c r="E25" s="4">
        <f>C25-B25</f>
        <v>267</v>
      </c>
      <c r="F25" s="1">
        <v>0.41</v>
      </c>
      <c r="G25" s="1" t="str">
        <f>IF(F25&lt;20%, "Low Discount",IF(F25&lt;=40%, "Medium Discount", "High Discount"))</f>
        <v>High Discount</v>
      </c>
      <c r="H25">
        <v>36</v>
      </c>
      <c r="I25">
        <v>4.3</v>
      </c>
      <c r="J25" t="str">
        <f>IF(I25&lt;3,"Poor",IF(I25&gt;=4.5,"Excellent","Average"))</f>
        <v>Average</v>
      </c>
    </row>
    <row r="26" spans="1:10" x14ac:dyDescent="0.25">
      <c r="A26" t="s">
        <v>33</v>
      </c>
      <c r="B26" s="4">
        <v>988</v>
      </c>
      <c r="C26" s="4">
        <v>1580</v>
      </c>
      <c r="D26" s="4" t="str">
        <f>IF(B26&gt;=2000, "High Price",IF(B26&gt;=1000, "Medium Price", "Low Price"))</f>
        <v>Low Price</v>
      </c>
      <c r="E26" s="4">
        <f>C26-B26</f>
        <v>592</v>
      </c>
      <c r="F26" s="1">
        <v>0.37</v>
      </c>
      <c r="G26" s="1" t="str">
        <f>IF(F26&lt;20%, "Low Discount",IF(F26&lt;=40%, "Medium Discount", "High Discount"))</f>
        <v>Medium Discount</v>
      </c>
      <c r="H26">
        <v>2</v>
      </c>
      <c r="I26">
        <v>4</v>
      </c>
      <c r="J26" t="str">
        <f>IF(I26&lt;3,"Poor",IF(I26&gt;=4.5,"Excellent","Average"))</f>
        <v>Average</v>
      </c>
    </row>
    <row r="27" spans="1:10" x14ac:dyDescent="0.25">
      <c r="A27" t="s">
        <v>78</v>
      </c>
      <c r="B27" s="4">
        <v>880</v>
      </c>
      <c r="C27" s="4">
        <v>1350</v>
      </c>
      <c r="D27" s="4" t="str">
        <f>IF(B27&gt;=2000, "High Price",IF(B27&gt;=1000, "Medium Price", "Low Price"))</f>
        <v>Low Price</v>
      </c>
      <c r="E27" s="4">
        <f>C27-B27</f>
        <v>470</v>
      </c>
      <c r="F27" s="1">
        <v>0.35</v>
      </c>
      <c r="G27" s="1" t="str">
        <f>IF(F27&lt;20%, "Low Discount",IF(F27&lt;=40%, "Medium Discount", "High Discount"))</f>
        <v>Medium Discount</v>
      </c>
      <c r="H27">
        <v>6</v>
      </c>
      <c r="I27">
        <v>4</v>
      </c>
      <c r="J27" t="str">
        <f>IF(I27&lt;3,"Poor",IF(I27&gt;=4.5,"Excellent","Average"))</f>
        <v>Average</v>
      </c>
    </row>
    <row r="28" spans="1:10" x14ac:dyDescent="0.25">
      <c r="A28" t="s">
        <v>42</v>
      </c>
      <c r="B28" s="4">
        <v>799</v>
      </c>
      <c r="C28" s="4">
        <v>999</v>
      </c>
      <c r="D28" s="4" t="str">
        <f>IF(B28&gt;=2000, "High Price",IF(B28&gt;=1000, "Medium Price", "Low Price"))</f>
        <v>Low Price</v>
      </c>
      <c r="E28" s="4">
        <f>C28-B28</f>
        <v>200</v>
      </c>
      <c r="F28" s="1">
        <v>0.2</v>
      </c>
      <c r="G28" s="1" t="str">
        <f>IF(F28&lt;20%, "Low Discount",IF(F28&lt;=40%, "Medium Discount", "High Discount"))</f>
        <v>Medium Discount</v>
      </c>
      <c r="H28">
        <v>12</v>
      </c>
      <c r="I28">
        <v>4.0999999999999996</v>
      </c>
      <c r="J28" t="str">
        <f>IF(I28&lt;3,"Poor",IF(I28&gt;=4.5,"Excellent","Average"))</f>
        <v>Average</v>
      </c>
    </row>
    <row r="29" spans="1:10" x14ac:dyDescent="0.25">
      <c r="A29" t="s">
        <v>120</v>
      </c>
      <c r="B29" s="4">
        <v>171</v>
      </c>
      <c r="C29" s="4">
        <v>360</v>
      </c>
      <c r="D29" s="4" t="str">
        <f>IF(B29&gt;=2000, "High Price",IF(B29&gt;=1000, "Medium Price", "Low Price"))</f>
        <v>Low Price</v>
      </c>
      <c r="E29" s="4">
        <f>C29-B29</f>
        <v>189</v>
      </c>
      <c r="F29" s="1">
        <v>0.53</v>
      </c>
      <c r="G29" s="1" t="str">
        <f>IF(F29&lt;20%, "Low Discount",IF(F29&lt;=40%, "Medium Discount", "High Discount"))</f>
        <v>High Discount</v>
      </c>
      <c r="H29">
        <v>2</v>
      </c>
      <c r="I29">
        <v>5</v>
      </c>
      <c r="J29" t="str">
        <f>IF(I29&lt;3,"Poor",IF(I29&gt;=4.5,"Excellent","Average"))</f>
        <v>Excellent</v>
      </c>
    </row>
    <row r="30" spans="1:10" x14ac:dyDescent="0.25">
      <c r="A30" t="s">
        <v>56</v>
      </c>
      <c r="B30" s="4">
        <v>332</v>
      </c>
      <c r="C30" s="4">
        <v>684</v>
      </c>
      <c r="D30" s="4" t="str">
        <f>IF(B30&gt;=2000, "High Price",IF(B30&gt;=1000, "Medium Price", "Low Price"))</f>
        <v>Low Price</v>
      </c>
      <c r="E30" s="4">
        <f>C30-B30</f>
        <v>352</v>
      </c>
      <c r="F30" s="1">
        <v>0.51</v>
      </c>
      <c r="G30" s="1" t="str">
        <f>IF(F30&lt;20%, "Low Discount",IF(F30&lt;=40%, "Medium Discount", "High Discount"))</f>
        <v>High Discount</v>
      </c>
      <c r="H30">
        <v>2</v>
      </c>
      <c r="I30">
        <v>5</v>
      </c>
      <c r="J30" t="str">
        <f>IF(I30&lt;3,"Poor",IF(I30&gt;=4.5,"Excellent","Average"))</f>
        <v>Excellent</v>
      </c>
    </row>
    <row r="31" spans="1:10" x14ac:dyDescent="0.25">
      <c r="A31" t="s">
        <v>68</v>
      </c>
      <c r="B31" s="4">
        <v>998</v>
      </c>
      <c r="C31" s="4">
        <v>1966</v>
      </c>
      <c r="D31" s="4" t="str">
        <f>IF(B31&gt;=2000, "High Price",IF(B31&gt;=1000, "Medium Price", "Low Price"))</f>
        <v>Low Price</v>
      </c>
      <c r="E31" s="4">
        <f>C31-B31</f>
        <v>968</v>
      </c>
      <c r="F31" s="1">
        <v>0.49</v>
      </c>
      <c r="G31" s="1" t="str">
        <f>IF(F31&lt;20%, "Low Discount",IF(F31&lt;=40%, "Medium Discount", "High Discount"))</f>
        <v>High Discount</v>
      </c>
      <c r="H31">
        <v>44</v>
      </c>
      <c r="I31">
        <v>4.5999999999999996</v>
      </c>
      <c r="J31" t="str">
        <f>IF(I31&lt;3,"Poor",IF(I31&gt;=4.5,"Excellent","Average"))</f>
        <v>Excellent</v>
      </c>
    </row>
    <row r="32" spans="1:10" x14ac:dyDescent="0.25">
      <c r="A32" t="s">
        <v>245</v>
      </c>
      <c r="B32" s="4">
        <v>979</v>
      </c>
      <c r="C32" s="4">
        <v>1920</v>
      </c>
      <c r="D32" s="4" t="str">
        <f>IF(B32&gt;=2000, "High Price",IF(B32&gt;=1000, "Medium Price", "Low Price"))</f>
        <v>Low Price</v>
      </c>
      <c r="E32" s="4">
        <f>C32-B32</f>
        <v>941</v>
      </c>
      <c r="F32" s="1">
        <v>0.49</v>
      </c>
      <c r="G32" s="1" t="str">
        <f>IF(F32&lt;20%, "Low Discount",IF(F32&lt;=40%, "Medium Discount", "High Discount"))</f>
        <v>High Discount</v>
      </c>
      <c r="H32">
        <v>1</v>
      </c>
      <c r="I32">
        <v>5</v>
      </c>
      <c r="J32" t="str">
        <f>IF(I32&lt;3,"Poor",IF(I32&gt;=4.5,"Excellent","Average"))</f>
        <v>Excellent</v>
      </c>
    </row>
    <row r="33" spans="1:10" x14ac:dyDescent="0.25">
      <c r="A33" t="s">
        <v>47</v>
      </c>
      <c r="B33" s="4">
        <v>552</v>
      </c>
      <c r="C33" s="4">
        <v>1035</v>
      </c>
      <c r="D33" s="4" t="str">
        <f>IF(B33&gt;=2000, "High Price",IF(B33&gt;=1000, "Medium Price", "Low Price"))</f>
        <v>Low Price</v>
      </c>
      <c r="E33" s="4">
        <f>C33-B33</f>
        <v>483</v>
      </c>
      <c r="F33" s="1">
        <v>0.47</v>
      </c>
      <c r="G33" s="1" t="str">
        <f>IF(F33&lt;20%, "Low Discount",IF(F33&lt;=40%, "Medium Discount", "High Discount"))</f>
        <v>High Discount</v>
      </c>
      <c r="H33">
        <v>12</v>
      </c>
      <c r="I33">
        <v>4.8</v>
      </c>
      <c r="J33" t="str">
        <f>IF(I33&lt;3,"Poor",IF(I33&gt;=4.5,"Excellent","Average"))</f>
        <v>Excellent</v>
      </c>
    </row>
    <row r="34" spans="1:10" x14ac:dyDescent="0.25">
      <c r="A34" t="s">
        <v>60</v>
      </c>
      <c r="B34" s="4">
        <v>195</v>
      </c>
      <c r="C34" s="4">
        <v>360</v>
      </c>
      <c r="D34" s="4" t="str">
        <f>IF(B34&gt;=2000, "High Price",IF(B34&gt;=1000, "Medium Price", "Low Price"))</f>
        <v>Low Price</v>
      </c>
      <c r="E34" s="4">
        <f>C34-B34</f>
        <v>165</v>
      </c>
      <c r="F34" s="1">
        <v>0.46</v>
      </c>
      <c r="G34" s="1" t="str">
        <f>IF(F34&lt;20%, "Low Discount",IF(F34&lt;=40%, "Medium Discount", "High Discount"))</f>
        <v>High Discount</v>
      </c>
      <c r="H34">
        <v>2</v>
      </c>
      <c r="I34">
        <v>5</v>
      </c>
      <c r="J34" t="str">
        <f>IF(I34&lt;3,"Poor",IF(I34&gt;=4.5,"Excellent","Average"))</f>
        <v>Excellent</v>
      </c>
    </row>
    <row r="35" spans="1:10" x14ac:dyDescent="0.25">
      <c r="A35" t="s">
        <v>50</v>
      </c>
      <c r="B35" s="4">
        <v>501</v>
      </c>
      <c r="C35" s="4">
        <v>860</v>
      </c>
      <c r="D35" s="4" t="str">
        <f>IF(B35&gt;=2000, "High Price",IF(B35&gt;=1000, "Medium Price", "Low Price"))</f>
        <v>Low Price</v>
      </c>
      <c r="E35" s="4">
        <f>C35-B35</f>
        <v>359</v>
      </c>
      <c r="F35" s="1">
        <v>0.42</v>
      </c>
      <c r="G35" s="1" t="str">
        <f>IF(F35&lt;20%, "Low Discount",IF(F35&lt;=40%, "Medium Discount", "High Discount"))</f>
        <v>High Discount</v>
      </c>
      <c r="H35">
        <v>6</v>
      </c>
      <c r="I35">
        <v>4.5</v>
      </c>
      <c r="J35" t="str">
        <f>IF(I35&lt;3,"Poor",IF(I35&gt;=4.5,"Excellent","Average"))</f>
        <v>Excellent</v>
      </c>
    </row>
    <row r="36" spans="1:10" x14ac:dyDescent="0.25">
      <c r="A36" t="s">
        <v>6</v>
      </c>
      <c r="B36" s="4">
        <v>950</v>
      </c>
      <c r="C36" s="4">
        <v>1525</v>
      </c>
      <c r="D36" s="4" t="str">
        <f>IF(B36&gt;=2000, "High Price",IF(B36&gt;=1000, "Medium Price", "Low Price"))</f>
        <v>Low Price</v>
      </c>
      <c r="E36" s="4">
        <f>C36-B36</f>
        <v>575</v>
      </c>
      <c r="F36" s="1">
        <v>0.38</v>
      </c>
      <c r="G36" s="1" t="str">
        <f>IF(F36&lt;20%, "Low Discount",IF(F36&lt;=40%, "Medium Discount", "High Discount"))</f>
        <v>Medium Discount</v>
      </c>
      <c r="H36">
        <v>2</v>
      </c>
      <c r="I36">
        <v>4.5</v>
      </c>
      <c r="J36" t="str">
        <f>IF(I36&lt;3,"Poor",IF(I36&gt;=4.5,"Excellent","Average"))</f>
        <v>Excellent</v>
      </c>
    </row>
    <row r="37" spans="1:10" x14ac:dyDescent="0.25">
      <c r="A37" t="s">
        <v>89</v>
      </c>
      <c r="B37" s="4">
        <v>420</v>
      </c>
      <c r="C37" s="4">
        <v>647</v>
      </c>
      <c r="D37" s="4" t="str">
        <f>IF(B37&gt;=2000, "High Price",IF(B37&gt;=1000, "Medium Price", "Low Price"))</f>
        <v>Low Price</v>
      </c>
      <c r="E37" s="4">
        <f>C37-B37</f>
        <v>227</v>
      </c>
      <c r="F37" s="1">
        <v>0.35</v>
      </c>
      <c r="G37" s="1" t="str">
        <f>IF(F37&lt;20%, "Low Discount",IF(F37&lt;=40%, "Medium Discount", "High Discount"))</f>
        <v>Medium Discount</v>
      </c>
      <c r="H37">
        <v>49</v>
      </c>
      <c r="I37">
        <v>4.5999999999999996</v>
      </c>
      <c r="J37" t="str">
        <f>IF(I37&lt;3,"Poor",IF(I37&gt;=4.5,"Excellent","Average"))</f>
        <v>Excellent</v>
      </c>
    </row>
    <row r="38" spans="1:10" x14ac:dyDescent="0.25">
      <c r="A38" t="s">
        <v>44</v>
      </c>
      <c r="B38" s="4">
        <v>990</v>
      </c>
      <c r="C38" s="4">
        <v>1500</v>
      </c>
      <c r="D38" s="4" t="str">
        <f>IF(B38&gt;=2000, "High Price",IF(B38&gt;=1000, "Medium Price", "Low Price"))</f>
        <v>Low Price</v>
      </c>
      <c r="E38" s="4">
        <f>C38-B38</f>
        <v>510</v>
      </c>
      <c r="F38" s="1">
        <v>0.34</v>
      </c>
      <c r="G38" s="1" t="str">
        <f>IF(F38&lt;20%, "Low Discount",IF(F38&lt;=40%, "Medium Discount", "High Discount"))</f>
        <v>Medium Discount</v>
      </c>
      <c r="H38">
        <v>39</v>
      </c>
      <c r="I38">
        <v>4.7</v>
      </c>
      <c r="J38" t="str">
        <f>IF(I38&lt;3,"Poor",IF(I38&gt;=4.5,"Excellent","Average"))</f>
        <v>Excellent</v>
      </c>
    </row>
    <row r="39" spans="1:10" x14ac:dyDescent="0.25">
      <c r="A39" t="s">
        <v>105</v>
      </c>
      <c r="B39" s="4">
        <v>980</v>
      </c>
      <c r="C39" s="4">
        <v>1490</v>
      </c>
      <c r="D39" s="4" t="str">
        <f>IF(B39&gt;=2000, "High Price",IF(B39&gt;=1000, "Medium Price", "Low Price"))</f>
        <v>Low Price</v>
      </c>
      <c r="E39" s="4">
        <f>C39-B39</f>
        <v>510</v>
      </c>
      <c r="F39" s="1">
        <v>0.34</v>
      </c>
      <c r="G39" s="1" t="str">
        <f>IF(F39&lt;20%, "Low Discount",IF(F39&lt;=40%, "Medium Discount", "High Discount"))</f>
        <v>Medium Discount</v>
      </c>
      <c r="H39">
        <v>12</v>
      </c>
      <c r="I39">
        <v>4.7</v>
      </c>
      <c r="J39" t="str">
        <f>IF(I39&lt;3,"Poor",IF(I39&gt;=4.5,"Excellent","Average"))</f>
        <v>Excellent</v>
      </c>
    </row>
    <row r="40" spans="1:10" x14ac:dyDescent="0.25">
      <c r="A40" t="s">
        <v>316</v>
      </c>
      <c r="B40" s="4">
        <v>199</v>
      </c>
      <c r="C40" s="4">
        <v>553</v>
      </c>
      <c r="D40" s="4" t="str">
        <f>IF(B40&gt;=2000, "High Price",IF(B40&gt;=1000, "Medium Price", "Low Price"))</f>
        <v>Low Price</v>
      </c>
      <c r="E40" s="4">
        <f>C40-B40</f>
        <v>354</v>
      </c>
      <c r="F40" s="1">
        <v>0.64</v>
      </c>
      <c r="G40" s="1" t="str">
        <f>IF(F40&lt;20%, "Low Discount",IF(F40&lt;=40%, "Medium Discount", "High Discount"))</f>
        <v>High Discount</v>
      </c>
      <c r="J40" t="str">
        <f>IF(I40&lt;3,"Poor",IF(I40&gt;=4.5,"Excellent","Average"))</f>
        <v>Poor</v>
      </c>
    </row>
    <row r="41" spans="1:10" x14ac:dyDescent="0.25">
      <c r="A41" t="s">
        <v>154</v>
      </c>
      <c r="B41" s="4">
        <v>199</v>
      </c>
      <c r="C41" s="4">
        <v>504</v>
      </c>
      <c r="D41" s="4" t="str">
        <f>IF(B41&gt;=2000, "High Price",IF(B41&gt;=1000, "Medium Price", "Low Price"))</f>
        <v>Low Price</v>
      </c>
      <c r="E41" s="4">
        <f>C41-B41</f>
        <v>305</v>
      </c>
      <c r="F41" s="1">
        <v>0.61</v>
      </c>
      <c r="G41" s="1" t="str">
        <f>IF(F41&lt;20%, "Low Discount",IF(F41&lt;=40%, "Medium Discount", "High Discount"))</f>
        <v>High Discount</v>
      </c>
      <c r="J41" t="str">
        <f>IF(I41&lt;3,"Poor",IF(I41&gt;=4.5,"Excellent","Average"))</f>
        <v>Poor</v>
      </c>
    </row>
    <row r="42" spans="1:10" x14ac:dyDescent="0.25">
      <c r="A42" t="s">
        <v>170</v>
      </c>
      <c r="B42" s="4">
        <v>399</v>
      </c>
      <c r="C42" s="4">
        <v>896</v>
      </c>
      <c r="D42" s="4" t="str">
        <f>IF(B42&gt;=2000, "High Price",IF(B42&gt;=1000, "Medium Price", "Low Price"))</f>
        <v>Low Price</v>
      </c>
      <c r="E42" s="4">
        <f>C42-B42</f>
        <v>497</v>
      </c>
      <c r="F42" s="1">
        <v>0.55000000000000004</v>
      </c>
      <c r="G42" s="1" t="str">
        <f>IF(F42&lt;20%, "Low Discount",IF(F42&lt;=40%, "Medium Discount", "High Discount"))</f>
        <v>High Discount</v>
      </c>
      <c r="J42" t="str">
        <f>IF(I42&lt;3,"Poor",IF(I42&gt;=4.5,"Excellent","Average"))</f>
        <v>Poor</v>
      </c>
    </row>
    <row r="43" spans="1:10" x14ac:dyDescent="0.25">
      <c r="A43" t="s">
        <v>198</v>
      </c>
      <c r="B43" s="4">
        <v>325</v>
      </c>
      <c r="C43" s="4">
        <v>680</v>
      </c>
      <c r="D43" s="4" t="str">
        <f>IF(B43&gt;=2000, "High Price",IF(B43&gt;=1000, "Medium Price", "Low Price"))</f>
        <v>Low Price</v>
      </c>
      <c r="E43" s="4">
        <f>C43-B43</f>
        <v>355</v>
      </c>
      <c r="F43" s="1">
        <v>0.52</v>
      </c>
      <c r="G43" s="1" t="str">
        <f>IF(F43&lt;20%, "Low Discount",IF(F43&lt;=40%, "Medium Discount", "High Discount"))</f>
        <v>High Discount</v>
      </c>
      <c r="H43">
        <v>15</v>
      </c>
      <c r="I43">
        <v>2.7</v>
      </c>
      <c r="J43" t="str">
        <f>IF(I43&lt;3,"Poor",IF(I43&gt;=4.5,"Excellent","Average"))</f>
        <v>Poor</v>
      </c>
    </row>
    <row r="44" spans="1:10" x14ac:dyDescent="0.25">
      <c r="A44" t="s">
        <v>143</v>
      </c>
      <c r="B44" s="4">
        <v>999</v>
      </c>
      <c r="C44" s="4">
        <v>2000</v>
      </c>
      <c r="D44" s="4" t="str">
        <f>IF(B44&gt;=2000, "High Price",IF(B44&gt;=1000, "Medium Price", "Low Price"))</f>
        <v>Low Price</v>
      </c>
      <c r="E44" s="4">
        <f>C44-B44</f>
        <v>1001</v>
      </c>
      <c r="F44" s="1">
        <v>0.5</v>
      </c>
      <c r="G44" s="1" t="str">
        <f>IF(F44&lt;20%, "Low Discount",IF(F44&lt;=40%, "Medium Discount", "High Discount"))</f>
        <v>High Discount</v>
      </c>
      <c r="J44" t="str">
        <f>IF(I44&lt;3,"Poor",IF(I44&gt;=4.5,"Excellent","Average"))</f>
        <v>Poor</v>
      </c>
    </row>
    <row r="45" spans="1:10" x14ac:dyDescent="0.25">
      <c r="A45" t="s">
        <v>269</v>
      </c>
      <c r="B45" s="4">
        <v>850</v>
      </c>
      <c r="C45" s="4">
        <v>1700</v>
      </c>
      <c r="D45" s="4" t="str">
        <f>IF(B45&gt;=2000, "High Price",IF(B45&gt;=1000, "Medium Price", "Low Price"))</f>
        <v>Low Price</v>
      </c>
      <c r="E45" s="4">
        <f>C45-B45</f>
        <v>850</v>
      </c>
      <c r="F45" s="1">
        <v>0.5</v>
      </c>
      <c r="G45" s="1" t="str">
        <f>IF(F45&lt;20%, "Low Discount",IF(F45&lt;=40%, "Medium Discount", "High Discount"))</f>
        <v>High Discount</v>
      </c>
      <c r="J45" t="str">
        <f>IF(I45&lt;3,"Poor",IF(I45&gt;=4.5,"Excellent","Average"))</f>
        <v>Poor</v>
      </c>
    </row>
    <row r="46" spans="1:10" x14ac:dyDescent="0.25">
      <c r="A46" t="s">
        <v>318</v>
      </c>
      <c r="B46" s="4">
        <v>450</v>
      </c>
      <c r="C46" s="4">
        <v>900</v>
      </c>
      <c r="D46" s="4" t="str">
        <f>IF(B46&gt;=2000, "High Price",IF(B46&gt;=1000, "Medium Price", "Low Price"))</f>
        <v>Low Price</v>
      </c>
      <c r="E46" s="4">
        <f>C46-B46</f>
        <v>450</v>
      </c>
      <c r="F46" s="1">
        <v>0.5</v>
      </c>
      <c r="G46" s="1" t="str">
        <f>IF(F46&lt;20%, "Low Discount",IF(F46&lt;=40%, "Medium Discount", "High Discount"))</f>
        <v>High Discount</v>
      </c>
      <c r="H46">
        <v>1</v>
      </c>
      <c r="I46">
        <v>2</v>
      </c>
      <c r="J46" t="str">
        <f>IF(I46&lt;3,"Poor",IF(I46&gt;=4.5,"Excellent","Average"))</f>
        <v>Poor</v>
      </c>
    </row>
    <row r="47" spans="1:10" x14ac:dyDescent="0.25">
      <c r="A47" t="s">
        <v>157</v>
      </c>
      <c r="B47" s="4">
        <v>299</v>
      </c>
      <c r="C47" s="4">
        <v>600</v>
      </c>
      <c r="D47" s="4" t="str">
        <f>IF(B47&gt;=2000, "High Price",IF(B47&gt;=1000, "Medium Price", "Low Price"))</f>
        <v>Low Price</v>
      </c>
      <c r="E47" s="4">
        <f>C47-B47</f>
        <v>301</v>
      </c>
      <c r="F47" s="1">
        <v>0.5</v>
      </c>
      <c r="G47" s="1" t="str">
        <f>IF(F47&lt;20%, "Low Discount",IF(F47&lt;=40%, "Medium Discount", "High Discount"))</f>
        <v>High Discount</v>
      </c>
      <c r="J47" t="str">
        <f>IF(I47&lt;3,"Poor",IF(I47&gt;=4.5,"Excellent","Average"))</f>
        <v>Poor</v>
      </c>
    </row>
    <row r="48" spans="1:10" x14ac:dyDescent="0.25">
      <c r="A48" t="s">
        <v>134</v>
      </c>
      <c r="B48" s="4">
        <v>238</v>
      </c>
      <c r="C48" s="4">
        <v>476</v>
      </c>
      <c r="D48" s="4" t="str">
        <f>IF(B48&gt;=2000, "High Price",IF(B48&gt;=1000, "Medium Price", "Low Price"))</f>
        <v>Low Price</v>
      </c>
      <c r="E48" s="4">
        <f>C48-B48</f>
        <v>238</v>
      </c>
      <c r="F48" s="1">
        <v>0.5</v>
      </c>
      <c r="G48" s="1" t="str">
        <f>IF(F48&lt;20%, "Low Discount",IF(F48&lt;=40%, "Medium Discount", "High Discount"))</f>
        <v>High Discount</v>
      </c>
      <c r="J48" t="str">
        <f>IF(I48&lt;3,"Poor",IF(I48&gt;=4.5,"Excellent","Average"))</f>
        <v>Poor</v>
      </c>
    </row>
    <row r="49" spans="1:10" x14ac:dyDescent="0.25">
      <c r="A49" t="s">
        <v>175</v>
      </c>
      <c r="B49" s="4">
        <v>799</v>
      </c>
      <c r="C49" s="4">
        <v>1567</v>
      </c>
      <c r="D49" s="4" t="str">
        <f>IF(B49&gt;=2000, "High Price",IF(B49&gt;=1000, "Medium Price", "Low Price"))</f>
        <v>Low Price</v>
      </c>
      <c r="E49" s="4">
        <f>C49-B49</f>
        <v>768</v>
      </c>
      <c r="F49" s="1">
        <v>0.49</v>
      </c>
      <c r="G49" s="1" t="str">
        <f>IF(F49&lt;20%, "Low Discount",IF(F49&lt;=40%, "Medium Discount", "High Discount"))</f>
        <v>High Discount</v>
      </c>
      <c r="J49" t="str">
        <f>IF(I49&lt;3,"Poor",IF(I49&gt;=4.5,"Excellent","Average"))</f>
        <v>Poor</v>
      </c>
    </row>
    <row r="50" spans="1:10" x14ac:dyDescent="0.25">
      <c r="A50" t="s">
        <v>148</v>
      </c>
      <c r="B50" s="4">
        <v>671</v>
      </c>
      <c r="C50" s="4">
        <v>1316</v>
      </c>
      <c r="D50" s="4" t="str">
        <f>IF(B50&gt;=2000, "High Price",IF(B50&gt;=1000, "Medium Price", "Low Price"))</f>
        <v>Low Price</v>
      </c>
      <c r="E50" s="4">
        <f>C50-B50</f>
        <v>645</v>
      </c>
      <c r="F50" s="1">
        <v>0.49</v>
      </c>
      <c r="G50" s="1" t="str">
        <f>IF(F50&lt;20%, "Low Discount",IF(F50&lt;=40%, "Medium Discount", "High Discount"))</f>
        <v>High Discount</v>
      </c>
      <c r="J50" t="str">
        <f>IF(I50&lt;3,"Poor",IF(I50&gt;=4.5,"Excellent","Average"))</f>
        <v>Poor</v>
      </c>
    </row>
    <row r="51" spans="1:10" x14ac:dyDescent="0.25">
      <c r="A51" t="s">
        <v>175</v>
      </c>
      <c r="B51" s="4">
        <v>657</v>
      </c>
      <c r="C51" s="4">
        <v>1288</v>
      </c>
      <c r="D51" s="4" t="str">
        <f>IF(B51&gt;=2000, "High Price",IF(B51&gt;=1000, "Medium Price", "Low Price"))</f>
        <v>Low Price</v>
      </c>
      <c r="E51" s="4">
        <f>C51-B51</f>
        <v>631</v>
      </c>
      <c r="F51" s="1">
        <v>0.49</v>
      </c>
      <c r="G51" s="1" t="str">
        <f>IF(F51&lt;20%, "Low Discount",IF(F51&lt;=40%, "Medium Discount", "High Discount"))</f>
        <v>High Discount</v>
      </c>
      <c r="J51" t="str">
        <f>IF(I51&lt;3,"Poor",IF(I51&gt;=4.5,"Excellent","Average"))</f>
        <v>Poor</v>
      </c>
    </row>
    <row r="52" spans="1:10" x14ac:dyDescent="0.25">
      <c r="A52" t="s">
        <v>289</v>
      </c>
      <c r="B52" s="4">
        <v>525</v>
      </c>
      <c r="C52" s="4">
        <v>1029</v>
      </c>
      <c r="D52" s="4" t="str">
        <f>IF(B52&gt;=2000, "High Price",IF(B52&gt;=1000, "Medium Price", "Low Price"))</f>
        <v>Low Price</v>
      </c>
      <c r="E52" s="4">
        <f>C52-B52</f>
        <v>504</v>
      </c>
      <c r="F52" s="1">
        <v>0.49</v>
      </c>
      <c r="G52" s="1" t="str">
        <f>IF(F52&lt;20%, "Low Discount",IF(F52&lt;=40%, "Medium Discount", "High Discount"))</f>
        <v>High Discount</v>
      </c>
      <c r="J52" t="str">
        <f>IF(I52&lt;3,"Poor",IF(I52&gt;=4.5,"Excellent","Average"))</f>
        <v>Poor</v>
      </c>
    </row>
    <row r="53" spans="1:10" x14ac:dyDescent="0.25">
      <c r="A53" t="s">
        <v>131</v>
      </c>
      <c r="B53" s="4">
        <v>475</v>
      </c>
      <c r="C53" s="4">
        <v>931</v>
      </c>
      <c r="D53" s="4" t="str">
        <f>IF(B53&gt;=2000, "High Price",IF(B53&gt;=1000, "Medium Price", "Low Price"))</f>
        <v>Low Price</v>
      </c>
      <c r="E53" s="4">
        <f>C53-B53</f>
        <v>456</v>
      </c>
      <c r="F53" s="1">
        <v>0.49</v>
      </c>
      <c r="G53" s="1" t="str">
        <f>IF(F53&lt;20%, "Low Discount",IF(F53&lt;=40%, "Medium Discount", "High Discount"))</f>
        <v>High Discount</v>
      </c>
      <c r="J53" t="str">
        <f>IF(I53&lt;3,"Poor",IF(I53&gt;=4.5,"Excellent","Average"))</f>
        <v>Poor</v>
      </c>
    </row>
    <row r="54" spans="1:10" x14ac:dyDescent="0.25">
      <c r="A54" t="s">
        <v>194</v>
      </c>
      <c r="B54" s="4">
        <v>445</v>
      </c>
      <c r="C54" s="4">
        <v>873</v>
      </c>
      <c r="D54" s="4" t="str">
        <f>IF(B54&gt;=2000, "High Price",IF(B54&gt;=1000, "Medium Price", "Low Price"))</f>
        <v>Low Price</v>
      </c>
      <c r="E54" s="4">
        <f>C54-B54</f>
        <v>428</v>
      </c>
      <c r="F54" s="1">
        <v>0.49</v>
      </c>
      <c r="G54" s="1" t="str">
        <f>IF(F54&lt;20%, "Low Discount",IF(F54&lt;=40%, "Medium Discount", "High Discount"))</f>
        <v>High Discount</v>
      </c>
      <c r="H54">
        <v>69</v>
      </c>
      <c r="I54">
        <v>2.8</v>
      </c>
      <c r="J54" t="str">
        <f>IF(I54&lt;3,"Poor",IF(I54&gt;=4.5,"Excellent","Average"))</f>
        <v>Poor</v>
      </c>
    </row>
    <row r="55" spans="1:10" x14ac:dyDescent="0.25">
      <c r="A55" t="s">
        <v>258</v>
      </c>
      <c r="B55" s="4">
        <v>274</v>
      </c>
      <c r="C55" s="4">
        <v>537</v>
      </c>
      <c r="D55" s="4" t="str">
        <f>IF(B55&gt;=2000, "High Price",IF(B55&gt;=1000, "Medium Price", "Low Price"))</f>
        <v>Low Price</v>
      </c>
      <c r="E55" s="4">
        <f>C55-B55</f>
        <v>263</v>
      </c>
      <c r="F55" s="1">
        <v>0.49</v>
      </c>
      <c r="G55" s="1" t="str">
        <f>IF(F55&lt;20%, "Low Discount",IF(F55&lt;=40%, "Medium Discount", "High Discount"))</f>
        <v>High Discount</v>
      </c>
      <c r="J55" t="str">
        <f>IF(I55&lt;3,"Poor",IF(I55&gt;=4.5,"Excellent","Average"))</f>
        <v>Poor</v>
      </c>
    </row>
    <row r="56" spans="1:10" x14ac:dyDescent="0.25">
      <c r="A56" t="s">
        <v>284</v>
      </c>
      <c r="B56" s="4">
        <v>248</v>
      </c>
      <c r="C56" s="4">
        <v>486</v>
      </c>
      <c r="D56" s="4" t="str">
        <f>IF(B56&gt;=2000, "High Price",IF(B56&gt;=1000, "Medium Price", "Low Price"))</f>
        <v>Low Price</v>
      </c>
      <c r="E56" s="4">
        <f>C56-B56</f>
        <v>238</v>
      </c>
      <c r="F56" s="1">
        <v>0.49</v>
      </c>
      <c r="G56" s="1" t="str">
        <f>IF(F56&lt;20%, "Low Discount",IF(F56&lt;=40%, "Medium Discount", "High Discount"))</f>
        <v>High Discount</v>
      </c>
      <c r="J56" t="str">
        <f>IF(I56&lt;3,"Poor",IF(I56&gt;=4.5,"Excellent","Average"))</f>
        <v>Poor</v>
      </c>
    </row>
    <row r="57" spans="1:10" x14ac:dyDescent="0.25">
      <c r="A57" t="s">
        <v>240</v>
      </c>
      <c r="B57" s="4">
        <v>230</v>
      </c>
      <c r="C57" s="4">
        <v>450</v>
      </c>
      <c r="D57" s="4" t="str">
        <f>IF(B57&gt;=2000, "High Price",IF(B57&gt;=1000, "Medium Price", "Low Price"))</f>
        <v>Low Price</v>
      </c>
      <c r="E57" s="4">
        <f>C57-B57</f>
        <v>220</v>
      </c>
      <c r="F57" s="1">
        <v>0.49</v>
      </c>
      <c r="G57" s="1" t="str">
        <f>IF(F57&lt;20%, "Low Discount",IF(F57&lt;=40%, "Medium Discount", "High Discount"))</f>
        <v>High Discount</v>
      </c>
      <c r="J57" t="str">
        <f>IF(I57&lt;3,"Poor",IF(I57&gt;=4.5,"Excellent","Average"))</f>
        <v>Poor</v>
      </c>
    </row>
    <row r="58" spans="1:10" x14ac:dyDescent="0.25">
      <c r="A58" t="s">
        <v>154</v>
      </c>
      <c r="B58" s="4">
        <v>176</v>
      </c>
      <c r="C58" s="4">
        <v>345</v>
      </c>
      <c r="D58" s="4" t="str">
        <f>IF(B58&gt;=2000, "High Price",IF(B58&gt;=1000, "Medium Price", "Low Price"))</f>
        <v>Low Price</v>
      </c>
      <c r="E58" s="4">
        <f>C58-B58</f>
        <v>169</v>
      </c>
      <c r="F58" s="1">
        <v>0.49</v>
      </c>
      <c r="G58" s="1" t="str">
        <f>IF(F58&lt;20%, "Low Discount",IF(F58&lt;=40%, "Medium Discount", "High Discount"))</f>
        <v>High Discount</v>
      </c>
      <c r="J58" t="str">
        <f>IF(I58&lt;3,"Poor",IF(I58&gt;=4.5,"Excellent","Average"))</f>
        <v>Poor</v>
      </c>
    </row>
    <row r="59" spans="1:10" x14ac:dyDescent="0.25">
      <c r="A59" t="s">
        <v>173</v>
      </c>
      <c r="B59" s="4">
        <v>699</v>
      </c>
      <c r="C59" s="4">
        <v>1343</v>
      </c>
      <c r="D59" s="4" t="str">
        <f>IF(B59&gt;=2000, "High Price",IF(B59&gt;=1000, "Medium Price", "Low Price"))</f>
        <v>Low Price</v>
      </c>
      <c r="E59" s="4">
        <f>C59-B59</f>
        <v>644</v>
      </c>
      <c r="F59" s="1">
        <v>0.48</v>
      </c>
      <c r="G59" s="1" t="str">
        <f>IF(F59&lt;20%, "Low Discount",IF(F59&lt;=40%, "Medium Discount", "High Discount"))</f>
        <v>High Discount</v>
      </c>
      <c r="J59" t="str">
        <f>IF(I59&lt;3,"Poor",IF(I59&gt;=4.5,"Excellent","Average"))</f>
        <v>Poor</v>
      </c>
    </row>
    <row r="60" spans="1:10" x14ac:dyDescent="0.25">
      <c r="A60" t="s">
        <v>274</v>
      </c>
      <c r="B60" s="4">
        <v>105</v>
      </c>
      <c r="C60" s="4">
        <v>200</v>
      </c>
      <c r="D60" s="4" t="str">
        <f>IF(B60&gt;=2000, "High Price",IF(B60&gt;=1000, "Medium Price", "Low Price"))</f>
        <v>Low Price</v>
      </c>
      <c r="E60" s="4">
        <f>C60-B60</f>
        <v>95</v>
      </c>
      <c r="F60" s="1">
        <v>0.48</v>
      </c>
      <c r="G60" s="1" t="str">
        <f>IF(F60&lt;20%, "Low Discount",IF(F60&lt;=40%, "Medium Discount", "High Discount"))</f>
        <v>High Discount</v>
      </c>
      <c r="J60" t="str">
        <f>IF(I60&lt;3,"Poor",IF(I60&gt;=4.5,"Excellent","Average"))</f>
        <v>Poor</v>
      </c>
    </row>
    <row r="61" spans="1:10" x14ac:dyDescent="0.25">
      <c r="A61" t="s">
        <v>227</v>
      </c>
      <c r="B61" s="4">
        <v>968</v>
      </c>
      <c r="C61" s="4">
        <v>1814</v>
      </c>
      <c r="D61" s="4" t="str">
        <f>IF(B61&gt;=2000, "High Price",IF(B61&gt;=1000, "Medium Price", "Low Price"))</f>
        <v>Low Price</v>
      </c>
      <c r="E61" s="4">
        <f>C61-B61</f>
        <v>846</v>
      </c>
      <c r="F61" s="1">
        <v>0.47</v>
      </c>
      <c r="G61" s="1" t="str">
        <f>IF(F61&lt;20%, "Low Discount",IF(F61&lt;=40%, "Medium Discount", "High Discount"))</f>
        <v>High Discount</v>
      </c>
      <c r="H61">
        <v>6</v>
      </c>
      <c r="I61">
        <v>2.2000000000000002</v>
      </c>
      <c r="J61" t="str">
        <f>IF(I61&lt;3,"Poor",IF(I61&gt;=4.5,"Excellent","Average"))</f>
        <v>Poor</v>
      </c>
    </row>
    <row r="62" spans="1:10" x14ac:dyDescent="0.25">
      <c r="A62" t="s">
        <v>277</v>
      </c>
      <c r="B62" s="4">
        <v>899</v>
      </c>
      <c r="C62" s="4">
        <v>1699</v>
      </c>
      <c r="D62" s="4" t="str">
        <f>IF(B62&gt;=2000, "High Price",IF(B62&gt;=1000, "Medium Price", "Low Price"))</f>
        <v>Low Price</v>
      </c>
      <c r="E62" s="4">
        <f>C62-B62</f>
        <v>800</v>
      </c>
      <c r="F62" s="1">
        <v>0.47</v>
      </c>
      <c r="G62" s="1" t="str">
        <f>IF(F62&lt;20%, "Low Discount",IF(F62&lt;=40%, "Medium Discount", "High Discount"))</f>
        <v>High Discount</v>
      </c>
      <c r="J62" t="str">
        <f>IF(I62&lt;3,"Poor",IF(I62&gt;=4.5,"Excellent","Average"))</f>
        <v>Poor</v>
      </c>
    </row>
    <row r="63" spans="1:10" x14ac:dyDescent="0.25">
      <c r="A63" t="s">
        <v>232</v>
      </c>
      <c r="B63" s="4">
        <v>790</v>
      </c>
      <c r="C63" s="4">
        <v>1485</v>
      </c>
      <c r="D63" s="4" t="str">
        <f>IF(B63&gt;=2000, "High Price",IF(B63&gt;=1000, "Medium Price", "Low Price"))</f>
        <v>Low Price</v>
      </c>
      <c r="E63" s="4">
        <f>C63-B63</f>
        <v>695</v>
      </c>
      <c r="F63" s="1">
        <v>0.47</v>
      </c>
      <c r="G63" s="1" t="str">
        <f>IF(F63&lt;20%, "Low Discount",IF(F63&lt;=40%, "Medium Discount", "High Discount"))</f>
        <v>High Discount</v>
      </c>
      <c r="J63" t="str">
        <f>IF(I63&lt;3,"Poor",IF(I63&gt;=4.5,"Excellent","Average"))</f>
        <v>Poor</v>
      </c>
    </row>
    <row r="64" spans="1:10" x14ac:dyDescent="0.25">
      <c r="A64" t="s">
        <v>320</v>
      </c>
      <c r="B64" s="4">
        <v>169</v>
      </c>
      <c r="C64" s="4">
        <v>320</v>
      </c>
      <c r="D64" s="4" t="str">
        <f>IF(B64&gt;=2000, "High Price",IF(B64&gt;=1000, "Medium Price", "Low Price"))</f>
        <v>Low Price</v>
      </c>
      <c r="E64" s="4">
        <f>C64-B64</f>
        <v>151</v>
      </c>
      <c r="F64" s="1">
        <v>0.47</v>
      </c>
      <c r="G64" s="1" t="str">
        <f>IF(F64&lt;20%, "Low Discount",IF(F64&lt;=40%, "Medium Discount", "High Discount"))</f>
        <v>High Discount</v>
      </c>
      <c r="J64" t="str">
        <f>IF(I64&lt;3,"Poor",IF(I64&gt;=4.5,"Excellent","Average"))</f>
        <v>Poor</v>
      </c>
    </row>
    <row r="65" spans="1:10" x14ac:dyDescent="0.25">
      <c r="A65" t="s">
        <v>206</v>
      </c>
      <c r="B65" s="4">
        <v>990</v>
      </c>
      <c r="C65" s="4">
        <v>1814</v>
      </c>
      <c r="D65" s="4" t="str">
        <f>IF(B65&gt;=2000, "High Price",IF(B65&gt;=1000, "Medium Price", "Low Price"))</f>
        <v>Low Price</v>
      </c>
      <c r="E65" s="4">
        <f>C65-B65</f>
        <v>824</v>
      </c>
      <c r="F65" s="1">
        <v>0.45</v>
      </c>
      <c r="G65" s="1" t="str">
        <f>IF(F65&lt;20%, "Low Discount",IF(F65&lt;=40%, "Medium Discount", "High Discount"))</f>
        <v>High Discount</v>
      </c>
      <c r="H65">
        <v>6</v>
      </c>
      <c r="I65">
        <v>2.2000000000000002</v>
      </c>
      <c r="J65" t="str">
        <f>IF(I65&lt;3,"Poor",IF(I65&gt;=4.5,"Excellent","Average"))</f>
        <v>Poor</v>
      </c>
    </row>
    <row r="66" spans="1:10" x14ac:dyDescent="0.25">
      <c r="A66" t="s">
        <v>170</v>
      </c>
      <c r="B66" s="4">
        <v>499</v>
      </c>
      <c r="C66" s="4">
        <v>900</v>
      </c>
      <c r="D66" s="4" t="str">
        <f>IF(B66&gt;=2000, "High Price",IF(B66&gt;=1000, "Medium Price", "Low Price"))</f>
        <v>Low Price</v>
      </c>
      <c r="E66" s="4">
        <f>C66-B66</f>
        <v>401</v>
      </c>
      <c r="F66" s="1">
        <v>0.45</v>
      </c>
      <c r="G66" s="1" t="str">
        <f>IF(F66&lt;20%, "Low Discount",IF(F66&lt;=40%, "Medium Discount", "High Discount"))</f>
        <v>High Discount</v>
      </c>
      <c r="J66" t="str">
        <f>IF(I66&lt;3,"Poor",IF(I66&gt;=4.5,"Excellent","Average"))</f>
        <v>Poor</v>
      </c>
    </row>
    <row r="67" spans="1:10" x14ac:dyDescent="0.25">
      <c r="A67" t="s">
        <v>215</v>
      </c>
      <c r="B67" s="4">
        <v>382</v>
      </c>
      <c r="C67" s="4">
        <v>700</v>
      </c>
      <c r="D67" s="4" t="str">
        <f>IF(B67&gt;=2000, "High Price",IF(B67&gt;=1000, "Medium Price", "Low Price"))</f>
        <v>Low Price</v>
      </c>
      <c r="E67" s="4">
        <f>C67-B67</f>
        <v>318</v>
      </c>
      <c r="F67" s="1">
        <v>0.45</v>
      </c>
      <c r="G67" s="1" t="str">
        <f>IF(F67&lt;20%, "Low Discount",IF(F67&lt;=40%, "Medium Discount", "High Discount"))</f>
        <v>High Discount</v>
      </c>
      <c r="H67">
        <v>17</v>
      </c>
      <c r="I67">
        <v>2.6</v>
      </c>
      <c r="J67" t="str">
        <f>IF(I67&lt;3,"Poor",IF(I67&gt;=4.5,"Excellent","Average"))</f>
        <v>Poor</v>
      </c>
    </row>
    <row r="68" spans="1:10" x14ac:dyDescent="0.25">
      <c r="A68" t="s">
        <v>235</v>
      </c>
      <c r="B68" s="4">
        <v>690</v>
      </c>
      <c r="C68" s="4">
        <v>1200</v>
      </c>
      <c r="D68" s="4" t="str">
        <f>IF(B68&gt;=2000, "High Price",IF(B68&gt;=1000, "Medium Price", "Low Price"))</f>
        <v>Low Price</v>
      </c>
      <c r="E68" s="4">
        <f>C68-B68</f>
        <v>510</v>
      </c>
      <c r="F68" s="1">
        <v>0.43</v>
      </c>
      <c r="G68" s="1" t="str">
        <f>IF(F68&lt;20%, "Low Discount",IF(F68&lt;=40%, "Medium Discount", "High Discount"))</f>
        <v>High Discount</v>
      </c>
      <c r="J68" t="str">
        <f>IF(I68&lt;3,"Poor",IF(I68&gt;=4.5,"Excellent","Average"))</f>
        <v>Poor</v>
      </c>
    </row>
    <row r="69" spans="1:10" x14ac:dyDescent="0.25">
      <c r="A69" t="s">
        <v>266</v>
      </c>
      <c r="B69" s="4">
        <v>630</v>
      </c>
      <c r="C69" s="4">
        <v>1100</v>
      </c>
      <c r="D69" s="4" t="str">
        <f>IF(B69&gt;=2000, "High Price",IF(B69&gt;=1000, "Medium Price", "Low Price"))</f>
        <v>Low Price</v>
      </c>
      <c r="E69" s="4">
        <f>C69-B69</f>
        <v>470</v>
      </c>
      <c r="F69" s="1">
        <v>0.43</v>
      </c>
      <c r="G69" s="1" t="str">
        <f>IF(F69&lt;20%, "Low Discount",IF(F69&lt;=40%, "Medium Discount", "High Discount"))</f>
        <v>High Discount</v>
      </c>
      <c r="J69" t="str">
        <f>IF(I69&lt;3,"Poor",IF(I69&gt;=4.5,"Excellent","Average"))</f>
        <v>Poor</v>
      </c>
    </row>
    <row r="70" spans="1:10" x14ac:dyDescent="0.25">
      <c r="A70" t="s">
        <v>221</v>
      </c>
      <c r="B70" s="4">
        <v>345</v>
      </c>
      <c r="C70" s="4">
        <v>602</v>
      </c>
      <c r="D70" s="4" t="str">
        <f>IF(B70&gt;=2000, "High Price",IF(B70&gt;=1000, "Medium Price", "Low Price"))</f>
        <v>Low Price</v>
      </c>
      <c r="E70" s="4">
        <f>C70-B70</f>
        <v>257</v>
      </c>
      <c r="F70" s="1">
        <v>0.43</v>
      </c>
      <c r="G70" s="1" t="str">
        <f>IF(F70&lt;20%, "Low Discount",IF(F70&lt;=40%, "Medium Discount", "High Discount"))</f>
        <v>High Discount</v>
      </c>
      <c r="H70">
        <v>6</v>
      </c>
      <c r="I70">
        <v>2.2999999999999998</v>
      </c>
      <c r="J70" t="str">
        <f>IF(I70&lt;3,"Poor",IF(I70&gt;=4.5,"Excellent","Average"))</f>
        <v>Poor</v>
      </c>
    </row>
    <row r="71" spans="1:10" x14ac:dyDescent="0.25">
      <c r="A71" t="s">
        <v>137</v>
      </c>
      <c r="B71" s="4">
        <v>610</v>
      </c>
      <c r="C71" s="4">
        <v>1060</v>
      </c>
      <c r="D71" s="4" t="str">
        <f>IF(B71&gt;=2000, "High Price",IF(B71&gt;=1000, "Medium Price", "Low Price"))</f>
        <v>Low Price</v>
      </c>
      <c r="E71" s="4">
        <f>C71-B71</f>
        <v>450</v>
      </c>
      <c r="F71" s="1">
        <v>0.42</v>
      </c>
      <c r="G71" s="1" t="str">
        <f>IF(F71&lt;20%, "Low Discount",IF(F71&lt;=40%, "Medium Discount", "High Discount"))</f>
        <v>High Discount</v>
      </c>
      <c r="J71" t="str">
        <f>IF(I71&lt;3,"Poor",IF(I71&gt;=4.5,"Excellent","Average"))</f>
        <v>Poor</v>
      </c>
    </row>
    <row r="72" spans="1:10" x14ac:dyDescent="0.25">
      <c r="A72" t="s">
        <v>168</v>
      </c>
      <c r="B72" s="4">
        <v>799</v>
      </c>
      <c r="C72" s="4">
        <v>1343</v>
      </c>
      <c r="D72" s="4" t="str">
        <f>IF(B72&gt;=2000, "High Price",IF(B72&gt;=1000, "Medium Price", "Low Price"))</f>
        <v>Low Price</v>
      </c>
      <c r="E72" s="4">
        <f>C72-B72</f>
        <v>544</v>
      </c>
      <c r="F72" s="1">
        <v>0.41</v>
      </c>
      <c r="G72" s="1" t="str">
        <f>IF(F72&lt;20%, "Low Discount",IF(F72&lt;=40%, "Medium Discount", "High Discount"))</f>
        <v>High Discount</v>
      </c>
      <c r="J72" t="str">
        <f>IF(I72&lt;3,"Poor",IF(I72&gt;=4.5,"Excellent","Average"))</f>
        <v>Poor</v>
      </c>
    </row>
    <row r="73" spans="1:10" x14ac:dyDescent="0.25">
      <c r="A73" t="s">
        <v>304</v>
      </c>
      <c r="B73" s="4">
        <v>198</v>
      </c>
      <c r="C73" s="4">
        <v>260</v>
      </c>
      <c r="D73" s="4" t="str">
        <f>IF(B73&gt;=2000, "High Price",IF(B73&gt;=1000, "Medium Price", "Low Price"))</f>
        <v>Low Price</v>
      </c>
      <c r="E73" s="4">
        <f>C73-B73</f>
        <v>62</v>
      </c>
      <c r="F73" s="1">
        <v>0.24</v>
      </c>
      <c r="G73" s="1" t="str">
        <f>IF(F73&lt;20%, "Low Discount",IF(F73&lt;=40%, "Medium Discount", "High Discount"))</f>
        <v>Medium Discount</v>
      </c>
      <c r="J73" t="str">
        <f>IF(I73&lt;3,"Poor",IF(I73&gt;=4.5,"Excellent","Average"))</f>
        <v>Poor</v>
      </c>
    </row>
    <row r="74" spans="1:10" x14ac:dyDescent="0.25">
      <c r="A74" t="s">
        <v>163</v>
      </c>
      <c r="B74" s="4">
        <v>299</v>
      </c>
      <c r="C74" s="4">
        <v>384</v>
      </c>
      <c r="D74" s="4" t="str">
        <f>IF(B74&gt;=2000, "High Price",IF(B74&gt;=1000, "Medium Price", "Low Price"))</f>
        <v>Low Price</v>
      </c>
      <c r="E74" s="4">
        <f>C74-B74</f>
        <v>85</v>
      </c>
      <c r="F74" s="1">
        <v>0.22</v>
      </c>
      <c r="G74" s="1" t="str">
        <f>IF(F74&lt;20%, "Low Discount",IF(F74&lt;=40%, "Medium Discount", "High Discount"))</f>
        <v>Medium Discount</v>
      </c>
      <c r="J74" t="str">
        <f>IF(I74&lt;3,"Poor",IF(I74&gt;=4.5,"Excellent","Average"))</f>
        <v>Poor</v>
      </c>
    </row>
    <row r="75" spans="1:10" x14ac:dyDescent="0.25">
      <c r="A75" t="s">
        <v>261</v>
      </c>
      <c r="B75" s="4">
        <v>799</v>
      </c>
      <c r="C75" s="4">
        <v>900</v>
      </c>
      <c r="D75" s="4" t="str">
        <f>IF(B75&gt;=2000, "High Price",IF(B75&gt;=1000, "Medium Price", "Low Price"))</f>
        <v>Low Price</v>
      </c>
      <c r="E75" s="4">
        <f>C75-B75</f>
        <v>101</v>
      </c>
      <c r="F75" s="1">
        <v>0.11</v>
      </c>
      <c r="G75" s="1" t="str">
        <f>IF(F75&lt;20%, "Low Discount",IF(F75&lt;=40%, "Medium Discount", "High Discount"))</f>
        <v>Low Discount</v>
      </c>
      <c r="J75" t="str">
        <f>IF(I75&lt;3,"Poor",IF(I75&gt;=4.5,"Excellent","Average"))</f>
        <v>Poor</v>
      </c>
    </row>
    <row r="76" spans="1:10" x14ac:dyDescent="0.25">
      <c r="A76" t="s">
        <v>108</v>
      </c>
      <c r="B76" s="4">
        <v>1820</v>
      </c>
      <c r="C76" s="4">
        <v>3490</v>
      </c>
      <c r="D76" s="4" t="str">
        <f>IF(B76&gt;=2000, "High Price",IF(B76&gt;=1000, "Medium Price", "Low Price"))</f>
        <v>Medium Price</v>
      </c>
      <c r="E76" s="4">
        <f>C76-B76</f>
        <v>1670</v>
      </c>
      <c r="F76" s="1">
        <v>0.48</v>
      </c>
      <c r="G76" s="1" t="str">
        <f>IF(F76&lt;20%, "Low Discount",IF(F76&lt;=40%, "Medium Discount", "High Discount"))</f>
        <v>High Discount</v>
      </c>
      <c r="H76">
        <v>9</v>
      </c>
      <c r="I76">
        <v>4.3</v>
      </c>
      <c r="J76" t="str">
        <f>IF(I76&lt;3,"Poor",IF(I76&gt;=4.5,"Excellent","Average"))</f>
        <v>Average</v>
      </c>
    </row>
    <row r="77" spans="1:10" x14ac:dyDescent="0.25">
      <c r="A77" t="s">
        <v>243</v>
      </c>
      <c r="B77" s="4">
        <v>1189</v>
      </c>
      <c r="C77" s="4">
        <v>2199</v>
      </c>
      <c r="D77" s="4" t="str">
        <f>IF(B77&gt;=2000, "High Price",IF(B77&gt;=1000, "Medium Price", "Low Price"))</f>
        <v>Medium Price</v>
      </c>
      <c r="E77" s="4">
        <f>C77-B77</f>
        <v>1010</v>
      </c>
      <c r="F77" s="1">
        <v>0.46</v>
      </c>
      <c r="G77" s="1" t="str">
        <f>IF(F77&lt;20%, "Low Discount",IF(F77&lt;=40%, "Medium Discount", "High Discount"))</f>
        <v>High Discount</v>
      </c>
      <c r="H77">
        <v>1</v>
      </c>
      <c r="I77">
        <v>3</v>
      </c>
      <c r="J77" t="str">
        <f>IF(I77&lt;3,"Poor",IF(I77&gt;=4.5,"Excellent","Average"))</f>
        <v>Average</v>
      </c>
    </row>
    <row r="78" spans="1:10" x14ac:dyDescent="0.25">
      <c r="A78" t="s">
        <v>38</v>
      </c>
      <c r="B78" s="4">
        <v>1600</v>
      </c>
      <c r="C78" s="4">
        <v>2929</v>
      </c>
      <c r="D78" s="4" t="str">
        <f>IF(B78&gt;=2000, "High Price",IF(B78&gt;=1000, "Medium Price", "Low Price"))</f>
        <v>Medium Price</v>
      </c>
      <c r="E78" s="4">
        <f>C78-B78</f>
        <v>1329</v>
      </c>
      <c r="F78" s="1">
        <v>0.45</v>
      </c>
      <c r="G78" s="1" t="str">
        <f>IF(F78&lt;20%, "Low Discount",IF(F78&lt;=40%, "Medium Discount", "High Discount"))</f>
        <v>High Discount</v>
      </c>
      <c r="H78">
        <v>5</v>
      </c>
      <c r="I78">
        <v>3.8</v>
      </c>
      <c r="J78" t="str">
        <f>IF(I78&lt;3,"Poor",IF(I78&gt;=4.5,"Excellent","Average"))</f>
        <v>Average</v>
      </c>
    </row>
    <row r="79" spans="1:10" x14ac:dyDescent="0.25">
      <c r="A79" t="s">
        <v>53</v>
      </c>
      <c r="B79" s="4">
        <v>1680</v>
      </c>
      <c r="C79" s="4">
        <v>2499</v>
      </c>
      <c r="D79" s="4" t="str">
        <f>IF(B79&gt;=2000, "High Price",IF(B79&gt;=1000, "Medium Price", "Low Price"))</f>
        <v>Medium Price</v>
      </c>
      <c r="E79" s="4">
        <f>C79-B79</f>
        <v>819</v>
      </c>
      <c r="F79" s="1">
        <v>0.33</v>
      </c>
      <c r="G79" s="1" t="str">
        <f>IF(F79&lt;20%, "Low Discount",IF(F79&lt;=40%, "Medium Discount", "High Discount"))</f>
        <v>Medium Discount</v>
      </c>
      <c r="H79">
        <v>9</v>
      </c>
      <c r="I79">
        <v>4.2</v>
      </c>
      <c r="J79" t="str">
        <f>IF(I79&lt;3,"Poor",IF(I79&gt;=4.5,"Excellent","Average"))</f>
        <v>Average</v>
      </c>
    </row>
    <row r="80" spans="1:10" x14ac:dyDescent="0.25">
      <c r="A80" t="s">
        <v>95</v>
      </c>
      <c r="B80" s="4">
        <v>1350</v>
      </c>
      <c r="C80" s="4">
        <v>1990</v>
      </c>
      <c r="D80" s="4" t="str">
        <f>IF(B80&gt;=2000, "High Price",IF(B80&gt;=1000, "Medium Price", "Low Price"))</f>
        <v>Medium Price</v>
      </c>
      <c r="E80" s="4">
        <f>C80-B80</f>
        <v>640</v>
      </c>
      <c r="F80" s="1">
        <v>0.32</v>
      </c>
      <c r="G80" s="1" t="str">
        <f>IF(F80&lt;20%, "Low Discount",IF(F80&lt;=40%, "Medium Discount", "High Discount"))</f>
        <v>Medium Discount</v>
      </c>
      <c r="H80">
        <v>13</v>
      </c>
      <c r="I80">
        <v>3.8</v>
      </c>
      <c r="J80" t="str">
        <f>IF(I80&lt;3,"Poor",IF(I80&gt;=4.5,"Excellent","Average"))</f>
        <v>Average</v>
      </c>
    </row>
    <row r="81" spans="1:10" x14ac:dyDescent="0.25">
      <c r="A81" t="s">
        <v>97</v>
      </c>
      <c r="B81" s="4">
        <v>1758</v>
      </c>
      <c r="C81" s="4">
        <v>2499</v>
      </c>
      <c r="D81" s="4" t="str">
        <f>IF(B81&gt;=2000, "High Price",IF(B81&gt;=1000, "Medium Price", "Low Price"))</f>
        <v>Medium Price</v>
      </c>
      <c r="E81" s="4">
        <f>C81-B81</f>
        <v>741</v>
      </c>
      <c r="F81" s="1">
        <v>0.3</v>
      </c>
      <c r="G81" s="1" t="str">
        <f>IF(F81&lt;20%, "Low Discount",IF(F81&lt;=40%, "Medium Discount", "High Discount"))</f>
        <v>Medium Discount</v>
      </c>
      <c r="H81">
        <v>2</v>
      </c>
      <c r="I81">
        <v>4.0999999999999996</v>
      </c>
      <c r="J81" t="str">
        <f>IF(I81&lt;3,"Poor",IF(I81&gt;=4.5,"Excellent","Average"))</f>
        <v>Average</v>
      </c>
    </row>
    <row r="82" spans="1:10" x14ac:dyDescent="0.25">
      <c r="A82" t="s">
        <v>81</v>
      </c>
      <c r="B82" s="4">
        <v>1650</v>
      </c>
      <c r="C82" s="4">
        <v>2150</v>
      </c>
      <c r="D82" s="4" t="str">
        <f>IF(B82&gt;=2000, "High Price",IF(B82&gt;=1000, "Medium Price", "Low Price"))</f>
        <v>Medium Price</v>
      </c>
      <c r="E82" s="4">
        <f>C82-B82</f>
        <v>500</v>
      </c>
      <c r="F82" s="1">
        <v>0.23</v>
      </c>
      <c r="G82" s="1" t="str">
        <f>IF(F82&lt;20%, "Low Discount",IF(F82&lt;=40%, "Medium Discount", "High Discount"))</f>
        <v>Medium Discount</v>
      </c>
      <c r="H82">
        <v>14</v>
      </c>
      <c r="I82">
        <v>4.4000000000000004</v>
      </c>
      <c r="J82" t="str">
        <f>IF(I82&lt;3,"Poor",IF(I82&gt;=4.5,"Excellent","Average"))</f>
        <v>Average</v>
      </c>
    </row>
    <row r="83" spans="1:10" x14ac:dyDescent="0.25">
      <c r="A83" t="s">
        <v>35</v>
      </c>
      <c r="B83" s="4">
        <v>1274</v>
      </c>
      <c r="C83" s="4">
        <v>2800</v>
      </c>
      <c r="D83" s="4" t="str">
        <f>IF(B83&gt;=2000, "High Price",IF(B83&gt;=1000, "Medium Price", "Low Price"))</f>
        <v>Medium Price</v>
      </c>
      <c r="E83" s="4">
        <f>C83-B83</f>
        <v>1526</v>
      </c>
      <c r="F83" s="1">
        <v>0.55000000000000004</v>
      </c>
      <c r="G83" s="1" t="str">
        <f>IF(F83&lt;20%, "Low Discount",IF(F83&lt;=40%, "Medium Discount", "High Discount"))</f>
        <v>High Discount</v>
      </c>
      <c r="H83">
        <v>5</v>
      </c>
      <c r="I83">
        <v>4.8</v>
      </c>
      <c r="J83" t="str">
        <f>IF(I83&lt;3,"Poor",IF(I83&gt;=4.5,"Excellent","Average"))</f>
        <v>Excellent</v>
      </c>
    </row>
    <row r="84" spans="1:10" x14ac:dyDescent="0.25">
      <c r="A84" t="s">
        <v>117</v>
      </c>
      <c r="B84" s="4">
        <v>1620</v>
      </c>
      <c r="C84" s="4">
        <v>2690</v>
      </c>
      <c r="D84" s="4" t="str">
        <f>IF(B84&gt;=2000, "High Price",IF(B84&gt;=1000, "Medium Price", "Low Price"))</f>
        <v>Medium Price</v>
      </c>
      <c r="E84" s="4">
        <f>C84-B84</f>
        <v>1070</v>
      </c>
      <c r="F84" s="1">
        <v>0.4</v>
      </c>
      <c r="G84" s="1" t="str">
        <f>IF(F84&lt;20%, "Low Discount",IF(F84&lt;=40%, "Medium Discount", "High Discount"))</f>
        <v>Medium Discount</v>
      </c>
      <c r="H84">
        <v>1</v>
      </c>
      <c r="I84">
        <v>5</v>
      </c>
      <c r="J84" t="str">
        <f>IF(I84&lt;3,"Poor",IF(I84&gt;=4.5,"Excellent","Average"))</f>
        <v>Excellent</v>
      </c>
    </row>
    <row r="85" spans="1:10" x14ac:dyDescent="0.25">
      <c r="A85" t="s">
        <v>325</v>
      </c>
      <c r="B85" s="4">
        <v>1980</v>
      </c>
      <c r="C85" s="4">
        <v>3200</v>
      </c>
      <c r="D85" s="4" t="str">
        <f>IF(B85&gt;=2000, "High Price",IF(B85&gt;=1000, "Medium Price", "Low Price"))</f>
        <v>Medium Price</v>
      </c>
      <c r="E85" s="4">
        <f>C85-B85</f>
        <v>1220</v>
      </c>
      <c r="F85" s="1">
        <v>0.38</v>
      </c>
      <c r="G85" s="1" t="str">
        <f>IF(F85&lt;20%, "Low Discount",IF(F85&lt;=40%, "Medium Discount", "High Discount"))</f>
        <v>Medium Discount</v>
      </c>
      <c r="H85">
        <v>2</v>
      </c>
      <c r="I85">
        <v>4.5</v>
      </c>
      <c r="J85" t="str">
        <f>IF(I85&lt;3,"Poor",IF(I85&gt;=4.5,"Excellent","Average"))</f>
        <v>Excellent</v>
      </c>
    </row>
    <row r="86" spans="1:10" x14ac:dyDescent="0.25">
      <c r="A86" t="s">
        <v>18</v>
      </c>
      <c r="B86" s="4">
        <v>1580</v>
      </c>
      <c r="C86" s="4">
        <v>2499</v>
      </c>
      <c r="D86" s="4" t="str">
        <f>IF(B86&gt;=2000, "High Price",IF(B86&gt;=1000, "Medium Price", "Low Price"))</f>
        <v>Medium Price</v>
      </c>
      <c r="E86" s="4">
        <f>C86-B86</f>
        <v>919</v>
      </c>
      <c r="F86" s="1">
        <v>0.37</v>
      </c>
      <c r="G86" s="1" t="str">
        <f>IF(F86&lt;20%, "Low Discount",IF(F86&lt;=40%, "Medium Discount", "High Discount"))</f>
        <v>Medium Discount</v>
      </c>
      <c r="H86">
        <v>7</v>
      </c>
      <c r="I86">
        <v>4.7</v>
      </c>
      <c r="J86" t="str">
        <f>IF(I86&lt;3,"Poor",IF(I86&gt;=4.5,"Excellent","Average"))</f>
        <v>Excellent</v>
      </c>
    </row>
    <row r="87" spans="1:10" x14ac:dyDescent="0.25">
      <c r="A87" t="s">
        <v>114</v>
      </c>
      <c r="B87" s="4">
        <v>1980</v>
      </c>
      <c r="C87" s="4">
        <v>2699</v>
      </c>
      <c r="D87" s="4" t="str">
        <f>IF(B87&gt;=2000, "High Price",IF(B87&gt;=1000, "Medium Price", "Low Price"))</f>
        <v>Medium Price</v>
      </c>
      <c r="E87" s="4">
        <f>C87-B87</f>
        <v>719</v>
      </c>
      <c r="F87" s="1">
        <v>0.27</v>
      </c>
      <c r="G87" s="1" t="str">
        <f>IF(F87&lt;20%, "Low Discount",IF(F87&lt;=40%, "Medium Discount", "High Discount"))</f>
        <v>Medium Discount</v>
      </c>
      <c r="H87">
        <v>32</v>
      </c>
      <c r="I87">
        <v>4.5</v>
      </c>
      <c r="J87" t="str">
        <f>IF(I87&lt;3,"Poor",IF(I87&gt;=4.5,"Excellent","Average"))</f>
        <v>Excellent</v>
      </c>
    </row>
    <row r="88" spans="1:10" x14ac:dyDescent="0.25">
      <c r="A88" t="s">
        <v>111</v>
      </c>
      <c r="B88" s="4">
        <v>1940</v>
      </c>
      <c r="C88" s="4">
        <v>2650</v>
      </c>
      <c r="D88" s="4" t="str">
        <f>IF(B88&gt;=2000, "High Price",IF(B88&gt;=1000, "Medium Price", "Low Price"))</f>
        <v>Medium Price</v>
      </c>
      <c r="E88" s="4">
        <f>C88-B88</f>
        <v>710</v>
      </c>
      <c r="F88" s="1">
        <v>0.27</v>
      </c>
      <c r="G88" s="1" t="str">
        <f>IF(F88&lt;20%, "Low Discount",IF(F88&lt;=40%, "Medium Discount", "High Discount"))</f>
        <v>Medium Discount</v>
      </c>
      <c r="H88">
        <v>2</v>
      </c>
      <c r="I88">
        <v>4.7</v>
      </c>
      <c r="J88" t="str">
        <f>IF(I88&lt;3,"Poor",IF(I88&gt;=4.5,"Excellent","Average"))</f>
        <v>Excellent</v>
      </c>
    </row>
    <row r="89" spans="1:10" x14ac:dyDescent="0.25">
      <c r="A89" t="s">
        <v>22</v>
      </c>
      <c r="B89" s="4">
        <v>1740</v>
      </c>
      <c r="C89" s="4">
        <v>2356</v>
      </c>
      <c r="D89" s="4" t="str">
        <f>IF(B89&gt;=2000, "High Price",IF(B89&gt;=1000, "Medium Price", "Low Price"))</f>
        <v>Medium Price</v>
      </c>
      <c r="E89" s="4">
        <f>C89-B89</f>
        <v>616</v>
      </c>
      <c r="F89" s="1">
        <v>0.26</v>
      </c>
      <c r="G89" s="1" t="str">
        <f>IF(F89&lt;20%, "Low Discount",IF(F89&lt;=40%, "Medium Discount", "High Discount"))</f>
        <v>Medium Discount</v>
      </c>
      <c r="H89">
        <v>5</v>
      </c>
      <c r="I89">
        <v>4.8</v>
      </c>
      <c r="J89" t="str">
        <f>IF(I89&lt;3,"Poor",IF(I89&gt;=4.5,"Excellent","Average"))</f>
        <v>Excellent</v>
      </c>
    </row>
    <row r="90" spans="1:10" x14ac:dyDescent="0.25">
      <c r="A90" t="s">
        <v>278</v>
      </c>
      <c r="B90" s="4">
        <v>1200</v>
      </c>
      <c r="C90" s="4">
        <v>2400</v>
      </c>
      <c r="D90" s="4" t="str">
        <f>IF(B90&gt;=2000, "High Price",IF(B90&gt;=1000, "Medium Price", "Low Price"))</f>
        <v>Medium Price</v>
      </c>
      <c r="E90" s="4">
        <f>C90-B90</f>
        <v>1200</v>
      </c>
      <c r="F90" s="1">
        <v>0.5</v>
      </c>
      <c r="G90" s="1" t="str">
        <f>IF(F90&lt;20%, "Low Discount",IF(F90&lt;=40%, "Medium Discount", "High Discount"))</f>
        <v>High Discount</v>
      </c>
      <c r="J90" t="str">
        <f>IF(I90&lt;3,"Poor",IF(I90&gt;=4.5,"Excellent","Average"))</f>
        <v>Poor</v>
      </c>
    </row>
    <row r="91" spans="1:10" x14ac:dyDescent="0.25">
      <c r="A91" t="s">
        <v>209</v>
      </c>
      <c r="B91" s="4">
        <v>1000</v>
      </c>
      <c r="C91" s="4">
        <v>2000</v>
      </c>
      <c r="D91" s="4" t="str">
        <f>IF(B91&gt;=2000, "High Price",IF(B91&gt;=1000, "Medium Price", "Low Price"))</f>
        <v>Medium Price</v>
      </c>
      <c r="E91" s="4">
        <f>C91-B91</f>
        <v>1000</v>
      </c>
      <c r="F91" s="1">
        <v>0.5</v>
      </c>
      <c r="G91" s="1" t="str">
        <f>IF(F91&lt;20%, "Low Discount",IF(F91&lt;=40%, "Medium Discount", "High Discount"))</f>
        <v>High Discount</v>
      </c>
      <c r="H91">
        <v>7</v>
      </c>
      <c r="I91">
        <v>2.2999999999999998</v>
      </c>
      <c r="J91" t="str">
        <f>IF(I91&lt;3,"Poor",IF(I91&gt;=4.5,"Excellent","Average"))</f>
        <v>Poor</v>
      </c>
    </row>
    <row r="92" spans="1:10" x14ac:dyDescent="0.25">
      <c r="A92" t="s">
        <v>272</v>
      </c>
      <c r="B92" s="4">
        <v>1300</v>
      </c>
      <c r="C92" s="4">
        <v>2500</v>
      </c>
      <c r="D92" s="4" t="str">
        <f>IF(B92&gt;=2000, "High Price",IF(B92&gt;=1000, "Medium Price", "Low Price"))</f>
        <v>Medium Price</v>
      </c>
      <c r="E92" s="4">
        <f>C92-B92</f>
        <v>1200</v>
      </c>
      <c r="F92" s="1">
        <v>0.48</v>
      </c>
      <c r="G92" s="1" t="str">
        <f>IF(F92&lt;20%, "Low Discount",IF(F92&lt;=40%, "Medium Discount", "High Discount"))</f>
        <v>High Discount</v>
      </c>
      <c r="J92" t="str">
        <f>IF(I92&lt;3,"Poor",IF(I92&gt;=4.5,"Excellent","Average"))</f>
        <v>Poor</v>
      </c>
    </row>
    <row r="93" spans="1:10" x14ac:dyDescent="0.25">
      <c r="A93" t="s">
        <v>229</v>
      </c>
      <c r="B93" s="4">
        <v>1570</v>
      </c>
      <c r="C93" s="4">
        <v>2988</v>
      </c>
      <c r="D93" s="4" t="str">
        <f>IF(B93&gt;=2000, "High Price",IF(B93&gt;=1000, "Medium Price", "Low Price"))</f>
        <v>Medium Price</v>
      </c>
      <c r="E93" s="4">
        <f>C93-B93</f>
        <v>1418</v>
      </c>
      <c r="F93" s="1">
        <v>0.47</v>
      </c>
      <c r="G93" s="1" t="str">
        <f>IF(F93&lt;20%, "Low Discount",IF(F93&lt;=40%, "Medium Discount", "High Discount"))</f>
        <v>High Discount</v>
      </c>
      <c r="H93">
        <v>7</v>
      </c>
      <c r="I93">
        <v>2.1</v>
      </c>
      <c r="J93" t="str">
        <f>IF(I93&lt;3,"Poor",IF(I93&gt;=4.5,"Excellent","Average"))</f>
        <v>Poor</v>
      </c>
    </row>
    <row r="94" spans="1:10" x14ac:dyDescent="0.25">
      <c r="A94" t="s">
        <v>75</v>
      </c>
      <c r="B94" s="4">
        <v>1860</v>
      </c>
      <c r="C94" s="4">
        <v>3220</v>
      </c>
      <c r="D94" s="4" t="str">
        <f>IF(B94&gt;=2000, "High Price",IF(B94&gt;=1000, "Medium Price", "Low Price"))</f>
        <v>Medium Price</v>
      </c>
      <c r="E94" s="4">
        <f>C94-B94</f>
        <v>1360</v>
      </c>
      <c r="F94" s="1">
        <v>0.42</v>
      </c>
      <c r="G94" s="1" t="str">
        <f>IF(F94&lt;20%, "Low Discount",IF(F94&lt;=40%, "Medium Discount", "High Discount"))</f>
        <v>High Discount</v>
      </c>
      <c r="J94" t="str">
        <f>IF(I94&lt;3,"Poor",IF(I94&gt;=4.5,"Excellent","Average"))</f>
        <v>Poor</v>
      </c>
    </row>
    <row r="95" spans="1:10" x14ac:dyDescent="0.25">
      <c r="A95" t="s">
        <v>292</v>
      </c>
      <c r="B95" s="4">
        <v>1080</v>
      </c>
      <c r="C95" s="4">
        <v>1874</v>
      </c>
      <c r="D95" s="4" t="str">
        <f>IF(B95&gt;=2000, "High Price",IF(B95&gt;=1000, "Medium Price", "Low Price"))</f>
        <v>Medium Price</v>
      </c>
      <c r="E95" s="4">
        <f>C95-B95</f>
        <v>794</v>
      </c>
      <c r="F95" s="1">
        <v>0.42</v>
      </c>
      <c r="G95" s="1" t="str">
        <f>IF(F95&lt;20%, "Low Discount",IF(F95&lt;=40%, "Medium Discount", "High Discount"))</f>
        <v>High Discount</v>
      </c>
      <c r="J95" t="str">
        <f>IF(I95&lt;3,"Poor",IF(I95&gt;=4.5,"Excellent","Average"))</f>
        <v>Poor</v>
      </c>
    </row>
    <row r="96" spans="1:10" x14ac:dyDescent="0.25">
      <c r="A96" t="s">
        <v>298</v>
      </c>
      <c r="B96" s="4">
        <v>1420</v>
      </c>
      <c r="C96" s="4">
        <v>2420</v>
      </c>
      <c r="D96" s="4" t="str">
        <f>IF(B96&gt;=2000, "High Price",IF(B96&gt;=1000, "Medium Price", "Low Price"))</f>
        <v>Medium Price</v>
      </c>
      <c r="E96" s="4">
        <f>C96-B96</f>
        <v>1000</v>
      </c>
      <c r="F96" s="1">
        <v>0.41</v>
      </c>
      <c r="G96" s="1" t="str">
        <f>IF(F96&lt;20%, "Low Discount",IF(F96&lt;=40%, "Medium Discount", "High Discount"))</f>
        <v>High Discount</v>
      </c>
      <c r="J96" t="str">
        <f>IF(I96&lt;3,"Poor",IF(I96&gt;=4.5,"Excellent","Average"))</f>
        <v>Poor</v>
      </c>
    </row>
    <row r="97" spans="1:10" x14ac:dyDescent="0.25">
      <c r="A97" t="s">
        <v>151</v>
      </c>
      <c r="B97" s="4">
        <v>1200</v>
      </c>
      <c r="C97" s="4">
        <v>1950</v>
      </c>
      <c r="D97" s="4" t="str">
        <f>IF(B97&gt;=2000, "High Price",IF(B97&gt;=1000, "Medium Price", "Low Price"))</f>
        <v>Medium Price</v>
      </c>
      <c r="E97" s="4">
        <f>C97-B97</f>
        <v>750</v>
      </c>
      <c r="F97" s="1">
        <v>0.38</v>
      </c>
      <c r="G97" s="1" t="str">
        <f>IF(F97&lt;20%, "Low Discount",IF(F97&lt;=40%, "Medium Discount", "High Discount"))</f>
        <v>Medium Discount</v>
      </c>
      <c r="J97" t="str">
        <f>IF(I97&lt;3,"Poor",IF(I97&gt;=4.5,"Excellent","Average"))</f>
        <v>Poor</v>
      </c>
    </row>
    <row r="98" spans="1:10" x14ac:dyDescent="0.25">
      <c r="A98" t="s">
        <v>248</v>
      </c>
      <c r="B98" s="4">
        <v>1460</v>
      </c>
      <c r="C98" s="4">
        <v>2290</v>
      </c>
      <c r="D98" s="4" t="str">
        <f>IF(B98&gt;=2000, "High Price",IF(B98&gt;=1000, "Medium Price", "Low Price"))</f>
        <v>Medium Price</v>
      </c>
      <c r="E98" s="4">
        <f>C98-B98</f>
        <v>830</v>
      </c>
      <c r="F98" s="1">
        <v>0.36</v>
      </c>
      <c r="G98" s="1" t="str">
        <f>IF(F98&lt;20%, "Low Discount",IF(F98&lt;=40%, "Medium Discount", "High Discount"))</f>
        <v>Medium Discount</v>
      </c>
      <c r="J98" t="str">
        <f>IF(I98&lt;3,"Poor",IF(I98&gt;=4.5,"Excellent","Average"))</f>
        <v>Poor</v>
      </c>
    </row>
    <row r="99" spans="1:10" x14ac:dyDescent="0.25">
      <c r="A99" t="s">
        <v>310</v>
      </c>
      <c r="B99" s="4">
        <v>1190</v>
      </c>
      <c r="C99" s="4">
        <v>1810</v>
      </c>
      <c r="D99" s="4" t="str">
        <f>IF(B99&gt;=2000, "High Price",IF(B99&gt;=1000, "Medium Price", "Low Price"))</f>
        <v>Medium Price</v>
      </c>
      <c r="E99" s="4">
        <f>C99-B99</f>
        <v>620</v>
      </c>
      <c r="F99" s="1">
        <v>0.34</v>
      </c>
      <c r="G99" s="1" t="str">
        <f>IF(F99&lt;20%, "Low Discount",IF(F99&lt;=40%, "Medium Discount", "High Discount"))</f>
        <v>Medium Discount</v>
      </c>
      <c r="J99" t="str">
        <f>IF(I99&lt;3,"Poor",IF(I99&gt;=4.5,"Excellent","Average"))</f>
        <v>Poor</v>
      </c>
    </row>
    <row r="100" spans="1:10" x14ac:dyDescent="0.25">
      <c r="A100" t="s">
        <v>307</v>
      </c>
      <c r="B100" s="4">
        <v>1150</v>
      </c>
      <c r="C100" s="4">
        <v>1737</v>
      </c>
      <c r="D100" s="4" t="str">
        <f>IF(B100&gt;=2000, "High Price",IF(B100&gt;=1000, "Medium Price", "Low Price"))</f>
        <v>Medium Price</v>
      </c>
      <c r="E100" s="4">
        <f>C100-B100</f>
        <v>587</v>
      </c>
      <c r="F100" s="1">
        <v>0.34</v>
      </c>
      <c r="G100" s="1" t="str">
        <f>IF(F100&lt;20%, "Low Discount",IF(F100&lt;=40%, "Medium Discount", "High Discount"))</f>
        <v>Medium Discount</v>
      </c>
      <c r="J100" t="str">
        <f>IF(I100&lt;3,"Poor",IF(I100&gt;=4.5,"Excellent","Average"))</f>
        <v>Poor</v>
      </c>
    </row>
    <row r="101" spans="1:10" x14ac:dyDescent="0.25">
      <c r="A101" t="s">
        <v>145</v>
      </c>
      <c r="B101" s="4">
        <v>1190</v>
      </c>
      <c r="C101" s="4">
        <v>1785</v>
      </c>
      <c r="D101" s="4" t="str">
        <f>IF(B101&gt;=2000, "High Price",IF(B101&gt;=1000, "Medium Price", "Low Price"))</f>
        <v>Medium Price</v>
      </c>
      <c r="E101" s="4">
        <f>C101-B101</f>
        <v>595</v>
      </c>
      <c r="F101" s="1">
        <v>0.33</v>
      </c>
      <c r="G101" s="1" t="str">
        <f>IF(F101&lt;20%, "Low Discount",IF(F101&lt;=40%, "Medium Discount", "High Discount"))</f>
        <v>Medium Discount</v>
      </c>
      <c r="J101" t="str">
        <f>IF(I101&lt;3,"Poor",IF(I101&gt;=4.5,"Excellent","Average"))</f>
        <v>Poor</v>
      </c>
    </row>
    <row r="102" spans="1:10" x14ac:dyDescent="0.25">
      <c r="A102" t="s">
        <v>202</v>
      </c>
      <c r="B102" s="4">
        <v>1220</v>
      </c>
      <c r="C102" s="4">
        <v>1555</v>
      </c>
      <c r="D102" s="4" t="str">
        <f>IF(B102&gt;=2000, "High Price",IF(B102&gt;=1000, "Medium Price", "Low Price"))</f>
        <v>Medium Price</v>
      </c>
      <c r="E102" s="4">
        <f>C102-B102</f>
        <v>335</v>
      </c>
      <c r="F102" s="1">
        <v>0.22</v>
      </c>
      <c r="G102" s="1" t="str">
        <f>IF(F102&lt;20%, "Low Discount",IF(F102&lt;=40%, "Medium Discount", "High Discount"))</f>
        <v>Medium Discount</v>
      </c>
      <c r="H102">
        <v>16</v>
      </c>
      <c r="I102">
        <v>2.9</v>
      </c>
      <c r="J102" t="str">
        <f>IF(I102&lt;3,"Poor",IF(I102&gt;=4.5,"Excellent","Average"))</f>
        <v>Poor</v>
      </c>
    </row>
    <row r="103" spans="1:10" x14ac:dyDescent="0.25">
      <c r="A103" t="s">
        <v>264</v>
      </c>
      <c r="B103" s="4">
        <v>1468</v>
      </c>
      <c r="C103" s="4">
        <v>1699</v>
      </c>
      <c r="D103" s="4" t="str">
        <f>IF(B103&gt;=2000, "High Price",IF(B103&gt;=1000, "Medium Price", "Low Price"))</f>
        <v>Medium Price</v>
      </c>
      <c r="E103" s="4">
        <f>C103-B103</f>
        <v>231</v>
      </c>
      <c r="F103" s="1">
        <v>0.14000000000000001</v>
      </c>
      <c r="G103" s="1" t="str">
        <f>IF(F103&lt;20%, "Low Discount",IF(F103&lt;=40%, "Medium Discount", "High Discount"))</f>
        <v>Low Discount</v>
      </c>
      <c r="J103" t="str">
        <f>IF(I103&lt;3,"Poor",IF(I103&gt;=4.5,"Excellent","Average"))</f>
        <v>Poor</v>
      </c>
    </row>
    <row r="104" spans="1:10" x14ac:dyDescent="0.25">
      <c r="A104" t="s">
        <v>256</v>
      </c>
      <c r="B104" s="4">
        <v>1466</v>
      </c>
      <c r="C104" s="4">
        <v>1699</v>
      </c>
      <c r="D104" s="4" t="str">
        <f>IF(B104&gt;=2000, "High Price",IF(B104&gt;=1000, "Medium Price", "Low Price"))</f>
        <v>Medium Price</v>
      </c>
      <c r="E104" s="4">
        <f>C104-B104</f>
        <v>233</v>
      </c>
      <c r="F104" s="1">
        <v>0.14000000000000001</v>
      </c>
      <c r="G104" s="1" t="str">
        <f>IF(F104&lt;20%, "Low Discount",IF(F104&lt;=40%, "Medium Discount", "High Discount"))</f>
        <v>Low Discount</v>
      </c>
      <c r="J104" t="str">
        <f>IF(I104&lt;3,"Poor",IF(I104&gt;=4.5,"Excellent","Average"))</f>
        <v>Poor</v>
      </c>
    </row>
    <row r="105" spans="1:10" x14ac:dyDescent="0.25">
      <c r="A105" t="s">
        <v>280</v>
      </c>
      <c r="B105" s="4">
        <v>1526</v>
      </c>
      <c r="C105" s="4">
        <v>1660</v>
      </c>
      <c r="D105" s="4" t="str">
        <f>IF(B105&gt;=2000, "High Price",IF(B105&gt;=1000, "Medium Price", "Low Price"))</f>
        <v>Medium Price</v>
      </c>
      <c r="E105" s="4">
        <f>C105-B105</f>
        <v>134</v>
      </c>
      <c r="F105" s="1">
        <v>0.08</v>
      </c>
      <c r="G105" s="1" t="str">
        <f>IF(F105&lt;20%, "Low Discount",IF(F105&lt;=40%, "Medium Discount", "High Discount"))</f>
        <v>Low Discount</v>
      </c>
      <c r="J105" t="str">
        <f>IF(I105&lt;3,"Poor",IF(I105&gt;=4.5,"Excellent","Average"))</f>
        <v>Poor</v>
      </c>
    </row>
    <row r="106" spans="1:10" x14ac:dyDescent="0.25">
      <c r="A106" t="s">
        <v>237</v>
      </c>
      <c r="B106" s="4">
        <v>1732</v>
      </c>
      <c r="C106" s="4">
        <v>1799</v>
      </c>
      <c r="D106" s="4" t="str">
        <f>IF(B106&gt;=2000, "High Price",IF(B106&gt;=1000, "Medium Price", "Low Price"))</f>
        <v>Medium Price</v>
      </c>
      <c r="E106" s="4">
        <f>C106-B106</f>
        <v>67</v>
      </c>
      <c r="F106" s="1">
        <v>0.04</v>
      </c>
      <c r="G106" s="1" t="str">
        <f>IF(F106&lt;20%, "Low Discount",IF(F106&lt;=40%, "Medium Discount", "High Discount"))</f>
        <v>Low Discount</v>
      </c>
      <c r="J106" t="str">
        <f>IF(I106&lt;3,"Poor",IF(I106&gt;=4.5,"Excellent","Average"))</f>
        <v>Poor</v>
      </c>
    </row>
    <row r="107" spans="1:10" x14ac:dyDescent="0.25">
      <c r="A107" t="s">
        <v>165</v>
      </c>
      <c r="B107" s="4">
        <v>1459</v>
      </c>
      <c r="C107" s="4">
        <v>1499</v>
      </c>
      <c r="D107" s="4" t="str">
        <f>IF(B107&gt;=2000, "High Price",IF(B107&gt;=1000, "Medium Price", "Low Price"))</f>
        <v>Medium Price</v>
      </c>
      <c r="E107" s="4">
        <f>C107-B107</f>
        <v>40</v>
      </c>
      <c r="F107" s="1">
        <v>0.03</v>
      </c>
      <c r="G107" s="1" t="str">
        <f>IF(F107&lt;20%, "Low Discount",IF(F107&lt;=40%, "Medium Discount", "High Discount"))</f>
        <v>Low Discount</v>
      </c>
      <c r="J107" t="str">
        <f>IF(I107&lt;3,"Poor",IF(I107&gt;=4.5,"Excellent","Average"))</f>
        <v>Poor</v>
      </c>
    </row>
    <row r="108" spans="1:10" x14ac:dyDescent="0.25">
      <c r="A108" t="s">
        <v>314</v>
      </c>
      <c r="B108" s="4">
        <v>1768</v>
      </c>
      <c r="C108" s="4">
        <v>1799</v>
      </c>
      <c r="D108" s="4" t="str">
        <f>IF(B108&gt;=2000, "High Price",IF(B108&gt;=1000, "Medium Price", "Low Price"))</f>
        <v>Medium Price</v>
      </c>
      <c r="E108" s="4">
        <f>C108-B108</f>
        <v>31</v>
      </c>
      <c r="F108" s="1">
        <v>0.02</v>
      </c>
      <c r="G108" s="1" t="str">
        <f>IF(F108&lt;20%, "Low Discount",IF(F108&lt;=40%, "Medium Discount", "High Discount"))</f>
        <v>Low Discount</v>
      </c>
      <c r="J108" t="str">
        <f>IF(I108&lt;3,"Poor",IF(I108&gt;=4.5,"Excellent","Average"))</f>
        <v>Poor</v>
      </c>
    </row>
    <row r="109" spans="1:10" x14ac:dyDescent="0.25">
      <c r="A109" t="s">
        <v>251</v>
      </c>
      <c r="B109" s="4">
        <v>1666</v>
      </c>
      <c r="C109" s="4">
        <v>1699</v>
      </c>
      <c r="D109" s="4" t="str">
        <f>IF(B109&gt;=2000, "High Price",IF(B109&gt;=1000, "Medium Price", "Low Price"))</f>
        <v>Medium Price</v>
      </c>
      <c r="E109" s="4">
        <f>C109-B109</f>
        <v>33</v>
      </c>
      <c r="F109" s="1">
        <v>0.02</v>
      </c>
      <c r="G109" s="1" t="str">
        <f>IF(F109&lt;20%, "Low Discount",IF(F109&lt;=40%, "Medium Discount", "High Discount"))</f>
        <v>Low Discount</v>
      </c>
      <c r="J109" t="str">
        <f>IF(I109&lt;3,"Poor",IF(I109&gt;=4.5,"Excellent","Average"))</f>
        <v>Poor</v>
      </c>
    </row>
    <row r="110" spans="1:10" x14ac:dyDescent="0.25">
      <c r="A110" t="s">
        <v>160</v>
      </c>
      <c r="B110" s="4">
        <v>1660</v>
      </c>
      <c r="C110" s="4">
        <v>1699</v>
      </c>
      <c r="D110" s="4" t="str">
        <f>IF(B110&gt;=2000, "High Price",IF(B110&gt;=1000, "Medium Price", "Low Price"))</f>
        <v>Medium Price</v>
      </c>
      <c r="E110" s="4">
        <f>C110-B110</f>
        <v>39</v>
      </c>
      <c r="F110" s="1">
        <v>0.02</v>
      </c>
      <c r="G110" s="1" t="str">
        <f>IF(F110&lt;20%, "Low Discount",IF(F110&lt;=40%, "Medium Discount", "High Discount"))</f>
        <v>Low Discount</v>
      </c>
      <c r="J110" t="str">
        <f>IF(I110&lt;3,"Poor",IF(I110&gt;=4.5,"Excellent","Average"))</f>
        <v>Poor</v>
      </c>
    </row>
    <row r="111" spans="1:10" x14ac:dyDescent="0.25">
      <c r="A111" t="s">
        <v>312</v>
      </c>
      <c r="B111" s="4">
        <v>1658</v>
      </c>
      <c r="C111" s="4">
        <v>1699</v>
      </c>
      <c r="D111" s="4" t="str">
        <f>IF(B111&gt;=2000, "High Price",IF(B111&gt;=1000, "Medium Price", "Low Price"))</f>
        <v>Medium Price</v>
      </c>
      <c r="E111" s="4">
        <f>C111-B111</f>
        <v>41</v>
      </c>
      <c r="F111" s="1">
        <v>0.02</v>
      </c>
      <c r="G111" s="1" t="str">
        <f>IF(F111&lt;20%, "Low Discount",IF(F111&lt;=40%, "Medium Discount", "High Discount"))</f>
        <v>Low Discount</v>
      </c>
      <c r="J111" t="str">
        <f>IF(I111&lt;3,"Poor",IF(I111&gt;=4.5,"Excellent","Average"))</f>
        <v>Poor</v>
      </c>
    </row>
    <row r="112" spans="1:10" x14ac:dyDescent="0.25">
      <c r="A112" t="s">
        <v>282</v>
      </c>
      <c r="B112" s="4">
        <v>1462</v>
      </c>
      <c r="C112" s="4">
        <v>1499</v>
      </c>
      <c r="D112" s="4" t="str">
        <f>IF(B112&gt;=2000, "High Price",IF(B112&gt;=1000, "Medium Price", "Low Price"))</f>
        <v>Medium Price</v>
      </c>
      <c r="E112" s="4">
        <f>C112-B112</f>
        <v>37</v>
      </c>
      <c r="F112" s="1">
        <v>0.02</v>
      </c>
      <c r="G112" s="1" t="str">
        <f>IF(F112&lt;20%, "Low Discount",IF(F112&lt;=40%, "Medium Discount", "High Discount"))</f>
        <v>Low Discount</v>
      </c>
      <c r="J112" t="str">
        <f>IF(I112&lt;3,"Poor",IF(I112&gt;=4.5,"Excellent","Average"))</f>
        <v>Poor</v>
      </c>
    </row>
    <row r="113" spans="1:10" x14ac:dyDescent="0.25">
      <c r="A113" t="s">
        <v>301</v>
      </c>
      <c r="B113" s="4">
        <v>1875</v>
      </c>
      <c r="C113" s="4">
        <v>1899</v>
      </c>
      <c r="D113" s="4" t="str">
        <f>IF(B113&gt;=2000, "High Price",IF(B113&gt;=1000, "Medium Price", "Low Price"))</f>
        <v>Medium Price</v>
      </c>
      <c r="E113" s="4">
        <f>C113-B113</f>
        <v>24</v>
      </c>
      <c r="F113" s="1">
        <v>0.01</v>
      </c>
      <c r="G113" s="1" t="str">
        <f>IF(F113&lt;20%, "Low Discount",IF(F113&lt;=40%, "Medium Discount", "High Discount"))</f>
        <v>Low Discount</v>
      </c>
      <c r="J113" t="str">
        <f>IF(I113&lt;3,"Poor",IF(I113&gt;=4.5,"Excellent","Average"))</f>
        <v>Poor</v>
      </c>
    </row>
    <row r="114" spans="1:10" x14ac:dyDescent="0.25">
      <c r="C114"/>
      <c r="D114"/>
      <c r="E114"/>
    </row>
    <row r="115" spans="1:10" x14ac:dyDescent="0.25">
      <c r="D115"/>
      <c r="E115"/>
      <c r="F115" s="1"/>
    </row>
    <row r="116" spans="1:10" x14ac:dyDescent="0.25">
      <c r="C116"/>
      <c r="D116"/>
      <c r="E116"/>
    </row>
  </sheetData>
  <autoFilter ref="A1:J113" xr:uid="{00000000-0009-0000-0000-000001000000}">
    <sortState xmlns:xlrd2="http://schemas.microsoft.com/office/spreadsheetml/2017/richdata2" ref="A2:J113">
      <sortCondition ref="D1:D113"/>
    </sortState>
  </autoFilter>
  <conditionalFormatting sqref="A114:A1048576">
    <cfRule type="top10" dxfId="32" priority="6" rank="5"/>
  </conditionalFormatting>
  <conditionalFormatting sqref="A114:A1048576">
    <cfRule type="top10" dxfId="31" priority="5" bottom="1" rank="5"/>
  </conditionalFormatting>
  <conditionalFormatting sqref="A114:A1048576 F114:F1048576">
    <cfRule type="top10" dxfId="30" priority="4" rank="10"/>
  </conditionalFormatting>
  <conditionalFormatting sqref="G11 A1:A1048576">
    <cfRule type="top10" dxfId="29" priority="3" rank="10"/>
  </conditionalFormatting>
  <conditionalFormatting sqref="A1:A1048576 J1:J1048576">
    <cfRule type="top10" dxfId="28" priority="2" rank="10"/>
  </conditionalFormatting>
  <conditionalFormatting sqref="A1:A1048576">
    <cfRule type="top10" dxfId="27" priority="1" rank="10"/>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E8" sqref="E8"/>
    </sheetView>
  </sheetViews>
  <sheetFormatPr defaultRowHeight="15" x14ac:dyDescent="0.25"/>
  <cols>
    <col min="1" max="1" width="32.7109375" customWidth="1"/>
    <col min="2" max="2" width="68.5703125" customWidth="1"/>
  </cols>
  <sheetData>
    <row r="1" spans="1:2" x14ac:dyDescent="0.25">
      <c r="A1" s="6" t="s">
        <v>330</v>
      </c>
      <c r="B1" s="7">
        <v>1188.5</v>
      </c>
    </row>
    <row r="2" spans="1:2" x14ac:dyDescent="0.25">
      <c r="A2" s="6" t="s">
        <v>331</v>
      </c>
      <c r="B2" s="7">
        <v>1815.5714285714287</v>
      </c>
    </row>
    <row r="3" spans="1:2" x14ac:dyDescent="0.25">
      <c r="A3" s="6" t="s">
        <v>332</v>
      </c>
      <c r="B3" s="8">
        <v>0.36776785714285715</v>
      </c>
    </row>
    <row r="4" spans="1:2" x14ac:dyDescent="0.25">
      <c r="A4" s="6" t="s">
        <v>333</v>
      </c>
      <c r="B4" s="9">
        <v>3.8894736842105262</v>
      </c>
    </row>
    <row r="5" spans="1:2" x14ac:dyDescent="0.25">
      <c r="A5" s="6" t="s">
        <v>334</v>
      </c>
      <c r="B5" s="10">
        <v>112</v>
      </c>
    </row>
    <row r="6" spans="1:2" x14ac:dyDescent="0.25">
      <c r="A6" s="6" t="s">
        <v>335</v>
      </c>
      <c r="B6" s="10">
        <v>57</v>
      </c>
    </row>
    <row r="7" spans="1:2" x14ac:dyDescent="0.25">
      <c r="A7" s="6" t="s">
        <v>337</v>
      </c>
      <c r="B7" s="10" t="s">
        <v>212</v>
      </c>
    </row>
    <row r="8" spans="1:2" x14ac:dyDescent="0.25">
      <c r="A8" s="6" t="s">
        <v>336</v>
      </c>
      <c r="B8" s="10" t="s">
        <v>71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zoomScale="85" zoomScaleNormal="85" workbookViewId="0">
      <selection sqref="A1:C3"/>
    </sheetView>
  </sheetViews>
  <sheetFormatPr defaultRowHeight="15" x14ac:dyDescent="0.25"/>
  <cols>
    <col min="1" max="1" width="63.28515625" bestFit="1" customWidth="1"/>
    <col min="2" max="2" width="12.5703125" customWidth="1"/>
    <col min="3" max="3" width="32.5703125" bestFit="1" customWidth="1"/>
    <col min="4" max="4" width="12.140625" customWidth="1"/>
    <col min="5" max="5" width="15" customWidth="1"/>
    <col min="7" max="7" width="17.7109375" customWidth="1"/>
  </cols>
  <sheetData>
    <row r="1" spans="1:10" x14ac:dyDescent="0.25">
      <c r="A1" s="10" t="s">
        <v>338</v>
      </c>
      <c r="B1" s="10">
        <f>CORREL('Cleaned_data '!F2:F113, 'Cleaned_data '!H2:H113)</f>
        <v>-0.11082649710419445</v>
      </c>
      <c r="C1" s="10" t="s">
        <v>339</v>
      </c>
      <c r="D1" s="17"/>
      <c r="E1" s="17"/>
    </row>
    <row r="2" spans="1:10" x14ac:dyDescent="0.25">
      <c r="A2" s="10" t="s">
        <v>340</v>
      </c>
      <c r="B2" s="10">
        <f>CORREL('Cleaned_data '!I2:I113,'Cleaned_data '!H2:H113)</f>
        <v>4.3355161432208474E-2</v>
      </c>
      <c r="C2" s="10" t="s">
        <v>341</v>
      </c>
      <c r="D2" s="17"/>
      <c r="E2" s="17"/>
    </row>
    <row r="3" spans="1:10" x14ac:dyDescent="0.25">
      <c r="A3" s="10" t="s">
        <v>342</v>
      </c>
      <c r="B3" s="10">
        <f>CORREL('Cleaned_data '!B2:B113,'Cleaned_data '!I2:I113)</f>
        <v>0.11211794294350237</v>
      </c>
      <c r="C3" s="10" t="s">
        <v>343</v>
      </c>
      <c r="D3" s="17"/>
      <c r="E3" s="17"/>
    </row>
    <row r="6" spans="1:10" ht="18.75" x14ac:dyDescent="0.3">
      <c r="A6" s="5" t="s">
        <v>351</v>
      </c>
    </row>
    <row r="7" spans="1:10" x14ac:dyDescent="0.25">
      <c r="A7" s="2" t="s">
        <v>0</v>
      </c>
      <c r="B7" s="3" t="s">
        <v>1</v>
      </c>
      <c r="C7" s="3" t="s">
        <v>326</v>
      </c>
      <c r="D7" s="3" t="s">
        <v>329</v>
      </c>
      <c r="E7" s="3" t="s">
        <v>327</v>
      </c>
      <c r="F7" s="2" t="s">
        <v>3</v>
      </c>
      <c r="G7" s="2" t="s">
        <v>328</v>
      </c>
      <c r="H7" s="2" t="s">
        <v>4</v>
      </c>
      <c r="I7" s="2" t="s">
        <v>323</v>
      </c>
      <c r="J7" s="2" t="s">
        <v>344</v>
      </c>
    </row>
    <row r="8" spans="1:10" x14ac:dyDescent="0.25">
      <c r="A8" t="s">
        <v>295</v>
      </c>
      <c r="B8" s="4">
        <v>3640</v>
      </c>
      <c r="C8" s="4">
        <v>4588</v>
      </c>
      <c r="D8" s="4" t="s">
        <v>345</v>
      </c>
      <c r="E8" s="4">
        <v>948</v>
      </c>
      <c r="F8" s="1">
        <v>0.21</v>
      </c>
      <c r="G8" s="1" t="s">
        <v>346</v>
      </c>
      <c r="H8">
        <v>1</v>
      </c>
      <c r="I8">
        <v>5</v>
      </c>
      <c r="J8" t="s">
        <v>347</v>
      </c>
    </row>
    <row r="9" spans="1:10" x14ac:dyDescent="0.25">
      <c r="A9" t="s">
        <v>63</v>
      </c>
      <c r="B9" s="4">
        <v>2025</v>
      </c>
      <c r="C9" s="4">
        <v>3971</v>
      </c>
      <c r="D9" s="4" t="s">
        <v>345</v>
      </c>
      <c r="E9" s="4">
        <v>1946</v>
      </c>
      <c r="F9" s="1">
        <v>0.49</v>
      </c>
      <c r="G9" s="1" t="s">
        <v>348</v>
      </c>
      <c r="H9">
        <v>3</v>
      </c>
      <c r="I9">
        <v>5</v>
      </c>
      <c r="J9" t="s">
        <v>347</v>
      </c>
    </row>
    <row r="10" spans="1:10" x14ac:dyDescent="0.25">
      <c r="A10" t="s">
        <v>117</v>
      </c>
      <c r="B10" s="4">
        <v>1620</v>
      </c>
      <c r="C10" s="4">
        <v>2690</v>
      </c>
      <c r="D10" s="4" t="s">
        <v>349</v>
      </c>
      <c r="E10" s="4">
        <v>1070</v>
      </c>
      <c r="F10" s="1">
        <v>0.4</v>
      </c>
      <c r="G10" s="1" t="s">
        <v>346</v>
      </c>
      <c r="H10">
        <v>1</v>
      </c>
      <c r="I10">
        <v>5</v>
      </c>
      <c r="J10" t="s">
        <v>347</v>
      </c>
    </row>
    <row r="11" spans="1:10" x14ac:dyDescent="0.25">
      <c r="A11" t="s">
        <v>245</v>
      </c>
      <c r="B11" s="4">
        <v>979</v>
      </c>
      <c r="C11" s="4">
        <v>1920</v>
      </c>
      <c r="D11" s="4" t="s">
        <v>350</v>
      </c>
      <c r="E11" s="4">
        <v>941</v>
      </c>
      <c r="F11" s="1">
        <v>0.49</v>
      </c>
      <c r="G11" s="1" t="s">
        <v>348</v>
      </c>
      <c r="H11">
        <v>1</v>
      </c>
      <c r="I11">
        <v>5</v>
      </c>
      <c r="J11" t="s">
        <v>347</v>
      </c>
    </row>
    <row r="12" spans="1:10" x14ac:dyDescent="0.25">
      <c r="A12" t="s">
        <v>56</v>
      </c>
      <c r="B12" s="4">
        <v>332</v>
      </c>
      <c r="C12" s="4">
        <v>684</v>
      </c>
      <c r="D12" s="4" t="s">
        <v>350</v>
      </c>
      <c r="E12" s="4">
        <v>352</v>
      </c>
      <c r="F12" s="1">
        <v>0.51</v>
      </c>
      <c r="G12" s="1" t="s">
        <v>348</v>
      </c>
      <c r="H12">
        <v>2</v>
      </c>
      <c r="I12">
        <v>5</v>
      </c>
      <c r="J12" t="s">
        <v>347</v>
      </c>
    </row>
    <row r="13" spans="1:10" x14ac:dyDescent="0.25">
      <c r="A13" t="s">
        <v>60</v>
      </c>
      <c r="B13" s="4">
        <v>195</v>
      </c>
      <c r="C13" s="4">
        <v>360</v>
      </c>
      <c r="D13" s="4" t="s">
        <v>350</v>
      </c>
      <c r="E13" s="4">
        <v>165</v>
      </c>
      <c r="F13" s="1">
        <v>0.46</v>
      </c>
      <c r="G13" s="1" t="s">
        <v>348</v>
      </c>
      <c r="H13">
        <v>2</v>
      </c>
      <c r="I13">
        <v>5</v>
      </c>
      <c r="J13" t="s">
        <v>347</v>
      </c>
    </row>
    <row r="14" spans="1:10" x14ac:dyDescent="0.25">
      <c r="A14" t="s">
        <v>120</v>
      </c>
      <c r="B14" s="4">
        <v>171</v>
      </c>
      <c r="C14" s="4">
        <v>360</v>
      </c>
      <c r="D14" s="4" t="s">
        <v>350</v>
      </c>
      <c r="E14" s="4">
        <v>189</v>
      </c>
      <c r="F14" s="1">
        <v>0.53</v>
      </c>
      <c r="G14" s="1" t="s">
        <v>348</v>
      </c>
      <c r="H14">
        <v>2</v>
      </c>
      <c r="I14">
        <v>5</v>
      </c>
      <c r="J14" t="s">
        <v>347</v>
      </c>
    </row>
    <row r="17" spans="1:10" ht="18.75" x14ac:dyDescent="0.3">
      <c r="A17" s="5" t="s">
        <v>353</v>
      </c>
    </row>
    <row r="18" spans="1:10" x14ac:dyDescent="0.25">
      <c r="A18" s="2" t="s">
        <v>0</v>
      </c>
      <c r="B18" s="3" t="s">
        <v>1</v>
      </c>
      <c r="C18" s="3" t="s">
        <v>326</v>
      </c>
      <c r="D18" s="3" t="s">
        <v>329</v>
      </c>
      <c r="E18" s="3" t="s">
        <v>327</v>
      </c>
      <c r="F18" s="2" t="s">
        <v>3</v>
      </c>
      <c r="G18" s="2" t="s">
        <v>328</v>
      </c>
      <c r="H18" s="2" t="s">
        <v>4</v>
      </c>
      <c r="I18" s="2" t="s">
        <v>323</v>
      </c>
      <c r="J18" s="2" t="s">
        <v>344</v>
      </c>
    </row>
    <row r="19" spans="1:10" x14ac:dyDescent="0.25">
      <c r="A19" t="s">
        <v>190</v>
      </c>
      <c r="B19" s="4">
        <v>2115</v>
      </c>
      <c r="C19" s="4">
        <v>4700</v>
      </c>
      <c r="D19" s="4" t="s">
        <v>345</v>
      </c>
      <c r="E19" s="4">
        <v>2585</v>
      </c>
      <c r="F19" s="1">
        <v>0.55000000000000004</v>
      </c>
      <c r="G19" s="1" t="s">
        <v>348</v>
      </c>
      <c r="H19">
        <v>13</v>
      </c>
      <c r="I19">
        <v>2.1</v>
      </c>
      <c r="J19" t="s">
        <v>352</v>
      </c>
    </row>
    <row r="20" spans="1:10" x14ac:dyDescent="0.25">
      <c r="A20" t="s">
        <v>229</v>
      </c>
      <c r="B20" s="4">
        <v>1570</v>
      </c>
      <c r="C20" s="4">
        <v>2988</v>
      </c>
      <c r="D20" s="4" t="s">
        <v>349</v>
      </c>
      <c r="E20" s="4">
        <v>1418</v>
      </c>
      <c r="F20" s="1">
        <v>0.47</v>
      </c>
      <c r="G20" s="1" t="s">
        <v>348</v>
      </c>
      <c r="H20">
        <v>7</v>
      </c>
      <c r="I20">
        <v>2.1</v>
      </c>
      <c r="J20" t="s">
        <v>352</v>
      </c>
    </row>
    <row r="21" spans="1:10" x14ac:dyDescent="0.25">
      <c r="A21" t="s">
        <v>206</v>
      </c>
      <c r="B21" s="4">
        <v>990</v>
      </c>
      <c r="C21" s="4">
        <v>1814</v>
      </c>
      <c r="D21" s="4" t="s">
        <v>350</v>
      </c>
      <c r="E21" s="4">
        <v>824</v>
      </c>
      <c r="F21" s="1">
        <v>0.45</v>
      </c>
      <c r="G21" s="1" t="s">
        <v>348</v>
      </c>
      <c r="H21">
        <v>6</v>
      </c>
      <c r="I21">
        <v>2.2000000000000002</v>
      </c>
      <c r="J21" t="s">
        <v>352</v>
      </c>
    </row>
    <row r="22" spans="1:10" x14ac:dyDescent="0.25">
      <c r="A22" t="s">
        <v>227</v>
      </c>
      <c r="B22" s="4">
        <v>968</v>
      </c>
      <c r="C22" s="4">
        <v>1814</v>
      </c>
      <c r="D22" s="4" t="s">
        <v>350</v>
      </c>
      <c r="E22" s="4">
        <v>846</v>
      </c>
      <c r="F22" s="1">
        <v>0.47</v>
      </c>
      <c r="G22" s="1" t="s">
        <v>348</v>
      </c>
      <c r="H22">
        <v>6</v>
      </c>
      <c r="I22">
        <v>2.2000000000000002</v>
      </c>
      <c r="J22" t="s">
        <v>352</v>
      </c>
    </row>
    <row r="23" spans="1:10" x14ac:dyDescent="0.25">
      <c r="A23" t="s">
        <v>318</v>
      </c>
      <c r="B23" s="4">
        <v>450</v>
      </c>
      <c r="C23" s="4">
        <v>900</v>
      </c>
      <c r="D23" s="4" t="s">
        <v>350</v>
      </c>
      <c r="E23" s="4">
        <v>450</v>
      </c>
      <c r="F23" s="1">
        <v>0.5</v>
      </c>
      <c r="G23" s="1" t="s">
        <v>348</v>
      </c>
      <c r="H23">
        <v>1</v>
      </c>
      <c r="I23">
        <v>2</v>
      </c>
      <c r="J23" t="s">
        <v>352</v>
      </c>
    </row>
  </sheetData>
  <conditionalFormatting sqref="I7:I14">
    <cfRule type="top10" priority="4" rank="10"/>
  </conditionalFormatting>
  <conditionalFormatting sqref="A7:A14 I7:I14 A17">
    <cfRule type="top10" dxfId="26" priority="3" rank="5"/>
  </conditionalFormatting>
  <conditionalFormatting sqref="A18:A23">
    <cfRule type="top10" dxfId="25" priority="2" rank="5"/>
  </conditionalFormatting>
  <conditionalFormatting sqref="A18:A23 I18:I23">
    <cfRule type="top10" dxfId="24" priority="1" bottom="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9"/>
  <sheetViews>
    <sheetView topLeftCell="A22" workbookViewId="0">
      <selection activeCell="H16" activeCellId="1" sqref="A16:A26 H16:H26"/>
    </sheetView>
  </sheetViews>
  <sheetFormatPr defaultRowHeight="15" x14ac:dyDescent="0.25"/>
  <cols>
    <col min="1" max="1" width="74" bestFit="1" customWidth="1"/>
    <col min="2" max="2" width="12.5703125" bestFit="1" customWidth="1"/>
    <col min="3" max="3" width="11.7109375" bestFit="1" customWidth="1"/>
    <col min="5" max="5" width="18.85546875" bestFit="1" customWidth="1"/>
    <col min="7" max="7" width="17.28515625" bestFit="1" customWidth="1"/>
    <col min="10" max="10" width="15.85546875" bestFit="1" customWidth="1"/>
  </cols>
  <sheetData>
    <row r="1" spans="1:10" ht="18.75" x14ac:dyDescent="0.3">
      <c r="A1" s="5" t="s">
        <v>356</v>
      </c>
    </row>
    <row r="2" spans="1:10" x14ac:dyDescent="0.25">
      <c r="A2" s="2" t="s">
        <v>0</v>
      </c>
      <c r="B2" s="3" t="s">
        <v>1</v>
      </c>
      <c r="C2" s="3" t="s">
        <v>326</v>
      </c>
      <c r="D2" s="3" t="s">
        <v>329</v>
      </c>
      <c r="E2" s="3" t="s">
        <v>327</v>
      </c>
      <c r="F2" s="2" t="s">
        <v>3</v>
      </c>
      <c r="G2" s="2" t="s">
        <v>328</v>
      </c>
      <c r="H2" s="2" t="s">
        <v>4</v>
      </c>
      <c r="I2" s="2" t="s">
        <v>323</v>
      </c>
      <c r="J2" s="2" t="s">
        <v>344</v>
      </c>
    </row>
    <row r="3" spans="1:10" x14ac:dyDescent="0.25">
      <c r="A3" t="s">
        <v>190</v>
      </c>
      <c r="B3" s="4">
        <v>2115</v>
      </c>
      <c r="C3" s="4">
        <v>4700</v>
      </c>
      <c r="D3" s="4" t="s">
        <v>345</v>
      </c>
      <c r="E3" s="4">
        <v>2585</v>
      </c>
      <c r="F3" s="1">
        <v>0.55000000000000004</v>
      </c>
      <c r="G3" s="1" t="s">
        <v>348</v>
      </c>
      <c r="H3">
        <v>13</v>
      </c>
      <c r="I3">
        <v>2.1</v>
      </c>
      <c r="J3" t="s">
        <v>352</v>
      </c>
    </row>
    <row r="4" spans="1:10" x14ac:dyDescent="0.25">
      <c r="A4" t="s">
        <v>85</v>
      </c>
      <c r="B4" s="4">
        <v>2048</v>
      </c>
      <c r="C4" s="4">
        <v>4500</v>
      </c>
      <c r="D4" s="4" t="s">
        <v>345</v>
      </c>
      <c r="E4" s="4">
        <v>2452</v>
      </c>
      <c r="F4" s="1">
        <v>0.54</v>
      </c>
      <c r="G4" s="1" t="s">
        <v>348</v>
      </c>
      <c r="H4">
        <v>7</v>
      </c>
      <c r="I4">
        <v>4.3</v>
      </c>
      <c r="J4" t="s">
        <v>354</v>
      </c>
    </row>
    <row r="5" spans="1:10" x14ac:dyDescent="0.25">
      <c r="A5" t="s">
        <v>35</v>
      </c>
      <c r="B5" s="4">
        <v>1274</v>
      </c>
      <c r="C5" s="4">
        <v>2800</v>
      </c>
      <c r="D5" s="4" t="s">
        <v>349</v>
      </c>
      <c r="E5" s="4">
        <v>1526</v>
      </c>
      <c r="F5" s="1">
        <v>0.55000000000000004</v>
      </c>
      <c r="G5" s="1" t="s">
        <v>348</v>
      </c>
      <c r="H5">
        <v>5</v>
      </c>
      <c r="I5">
        <v>4.8</v>
      </c>
      <c r="J5" t="s">
        <v>347</v>
      </c>
    </row>
    <row r="6" spans="1:10" x14ac:dyDescent="0.25">
      <c r="A6" t="s">
        <v>186</v>
      </c>
      <c r="B6" s="4">
        <v>458</v>
      </c>
      <c r="C6" s="4">
        <v>986</v>
      </c>
      <c r="D6" s="4" t="s">
        <v>350</v>
      </c>
      <c r="E6" s="4">
        <v>528</v>
      </c>
      <c r="F6" s="1">
        <v>0.54</v>
      </c>
      <c r="G6" s="1" t="s">
        <v>348</v>
      </c>
      <c r="H6">
        <v>1</v>
      </c>
      <c r="I6">
        <v>3</v>
      </c>
      <c r="J6" t="s">
        <v>354</v>
      </c>
    </row>
    <row r="7" spans="1:10" x14ac:dyDescent="0.25">
      <c r="A7" t="s">
        <v>170</v>
      </c>
      <c r="B7" s="4">
        <v>399</v>
      </c>
      <c r="C7" s="4">
        <v>896</v>
      </c>
      <c r="D7" s="4" t="s">
        <v>350</v>
      </c>
      <c r="E7" s="4">
        <v>497</v>
      </c>
      <c r="F7" s="1">
        <v>0.55000000000000004</v>
      </c>
      <c r="G7" s="1" t="s">
        <v>348</v>
      </c>
      <c r="J7" t="s">
        <v>352</v>
      </c>
    </row>
    <row r="8" spans="1:10" x14ac:dyDescent="0.25">
      <c r="A8" t="s">
        <v>198</v>
      </c>
      <c r="B8" s="4">
        <v>325</v>
      </c>
      <c r="C8" s="4">
        <v>680</v>
      </c>
      <c r="D8" s="4" t="s">
        <v>350</v>
      </c>
      <c r="E8" s="4">
        <v>355</v>
      </c>
      <c r="F8" s="1">
        <v>0.52</v>
      </c>
      <c r="G8" s="1" t="s">
        <v>348</v>
      </c>
      <c r="H8">
        <v>15</v>
      </c>
      <c r="I8">
        <v>2.7</v>
      </c>
      <c r="J8" t="s">
        <v>352</v>
      </c>
    </row>
    <row r="9" spans="1:10" x14ac:dyDescent="0.25">
      <c r="A9" t="s">
        <v>154</v>
      </c>
      <c r="B9" s="4">
        <v>199</v>
      </c>
      <c r="C9" s="4">
        <v>504</v>
      </c>
      <c r="D9" s="4" t="s">
        <v>350</v>
      </c>
      <c r="E9" s="4">
        <v>305</v>
      </c>
      <c r="F9" s="1">
        <v>0.61</v>
      </c>
      <c r="G9" s="1" t="s">
        <v>348</v>
      </c>
      <c r="J9" t="s">
        <v>352</v>
      </c>
    </row>
    <row r="10" spans="1:10" x14ac:dyDescent="0.25">
      <c r="A10" t="s">
        <v>316</v>
      </c>
      <c r="B10" s="4">
        <v>199</v>
      </c>
      <c r="C10" s="4">
        <v>553</v>
      </c>
      <c r="D10" s="4" t="s">
        <v>350</v>
      </c>
      <c r="E10" s="4">
        <v>354</v>
      </c>
      <c r="F10" s="1">
        <v>0.64</v>
      </c>
      <c r="G10" s="1" t="s">
        <v>348</v>
      </c>
      <c r="J10" t="s">
        <v>352</v>
      </c>
    </row>
    <row r="11" spans="1:10" x14ac:dyDescent="0.25">
      <c r="A11" t="s">
        <v>102</v>
      </c>
      <c r="B11" s="4">
        <v>185</v>
      </c>
      <c r="C11" s="4">
        <v>382</v>
      </c>
      <c r="D11" s="4" t="s">
        <v>350</v>
      </c>
      <c r="E11" s="4">
        <v>197</v>
      </c>
      <c r="F11" s="1">
        <v>0.52</v>
      </c>
      <c r="G11" s="1" t="s">
        <v>348</v>
      </c>
      <c r="H11">
        <v>9</v>
      </c>
      <c r="I11">
        <v>4.3</v>
      </c>
      <c r="J11" t="s">
        <v>354</v>
      </c>
    </row>
    <row r="12" spans="1:10" x14ac:dyDescent="0.25">
      <c r="A12" t="s">
        <v>120</v>
      </c>
      <c r="B12" s="4">
        <v>171</v>
      </c>
      <c r="C12" s="4">
        <v>360</v>
      </c>
      <c r="D12" s="4" t="s">
        <v>350</v>
      </c>
      <c r="E12" s="4">
        <v>189</v>
      </c>
      <c r="F12" s="1">
        <v>0.53</v>
      </c>
      <c r="G12" s="1" t="s">
        <v>348</v>
      </c>
      <c r="H12">
        <v>2</v>
      </c>
      <c r="I12">
        <v>5</v>
      </c>
      <c r="J12" t="s">
        <v>347</v>
      </c>
    </row>
    <row r="13" spans="1:10" x14ac:dyDescent="0.25">
      <c r="A13" t="s">
        <v>71</v>
      </c>
      <c r="B13" s="4">
        <v>38</v>
      </c>
      <c r="C13" s="4">
        <v>80</v>
      </c>
      <c r="D13" s="4" t="s">
        <v>350</v>
      </c>
      <c r="E13" s="4">
        <v>42</v>
      </c>
      <c r="F13" s="1">
        <v>0.53</v>
      </c>
      <c r="G13" s="1" t="s">
        <v>348</v>
      </c>
      <c r="H13">
        <v>13</v>
      </c>
      <c r="I13">
        <v>3.3</v>
      </c>
      <c r="J13" t="s">
        <v>354</v>
      </c>
    </row>
    <row r="15" spans="1:10" ht="18.75" x14ac:dyDescent="0.3">
      <c r="A15" s="5" t="s">
        <v>355</v>
      </c>
    </row>
    <row r="16" spans="1:10" x14ac:dyDescent="0.25">
      <c r="A16" s="2" t="s">
        <v>0</v>
      </c>
      <c r="B16" s="3" t="s">
        <v>1</v>
      </c>
      <c r="C16" s="3" t="s">
        <v>326</v>
      </c>
      <c r="D16" s="3" t="s">
        <v>329</v>
      </c>
      <c r="E16" s="3" t="s">
        <v>327</v>
      </c>
      <c r="F16" s="2" t="s">
        <v>3</v>
      </c>
      <c r="G16" s="2" t="s">
        <v>328</v>
      </c>
      <c r="H16" s="2" t="s">
        <v>4</v>
      </c>
      <c r="I16" s="2" t="s">
        <v>323</v>
      </c>
      <c r="J16" s="2" t="s">
        <v>344</v>
      </c>
    </row>
    <row r="17" spans="1:10" x14ac:dyDescent="0.25">
      <c r="A17" t="s">
        <v>194</v>
      </c>
      <c r="B17" s="4">
        <v>445</v>
      </c>
      <c r="C17" s="4">
        <v>873</v>
      </c>
      <c r="D17" s="4" t="s">
        <v>350</v>
      </c>
      <c r="E17" s="4">
        <v>428</v>
      </c>
      <c r="F17" s="1">
        <v>0.49</v>
      </c>
      <c r="G17" s="1" t="s">
        <v>348</v>
      </c>
      <c r="H17">
        <v>69</v>
      </c>
      <c r="I17">
        <v>4.5999999999999996</v>
      </c>
      <c r="J17" t="s">
        <v>347</v>
      </c>
    </row>
    <row r="18" spans="1:10" x14ac:dyDescent="0.25">
      <c r="A18" t="s">
        <v>30</v>
      </c>
      <c r="B18" s="4">
        <v>2319</v>
      </c>
      <c r="C18" s="4">
        <v>3032</v>
      </c>
      <c r="D18" s="4" t="s">
        <v>345</v>
      </c>
      <c r="E18" s="4">
        <v>713</v>
      </c>
      <c r="F18" s="1">
        <v>0.24</v>
      </c>
      <c r="G18" s="1" t="s">
        <v>346</v>
      </c>
      <c r="H18">
        <v>55</v>
      </c>
      <c r="I18">
        <v>4.5999999999999996</v>
      </c>
      <c r="J18" t="s">
        <v>347</v>
      </c>
    </row>
    <row r="19" spans="1:10" x14ac:dyDescent="0.25">
      <c r="A19" t="s">
        <v>89</v>
      </c>
      <c r="B19" s="4">
        <v>420</v>
      </c>
      <c r="C19" s="4">
        <v>647</v>
      </c>
      <c r="D19" s="4" t="s">
        <v>350</v>
      </c>
      <c r="E19" s="4">
        <v>227</v>
      </c>
      <c r="F19" s="1">
        <v>0.35</v>
      </c>
      <c r="G19" s="1" t="s">
        <v>346</v>
      </c>
      <c r="H19">
        <v>49</v>
      </c>
      <c r="I19">
        <v>4.5</v>
      </c>
      <c r="J19" t="s">
        <v>347</v>
      </c>
    </row>
    <row r="20" spans="1:10" x14ac:dyDescent="0.25">
      <c r="A20" t="s">
        <v>68</v>
      </c>
      <c r="B20" s="4">
        <v>998</v>
      </c>
      <c r="C20" s="4">
        <v>1966</v>
      </c>
      <c r="D20" s="4" t="s">
        <v>350</v>
      </c>
      <c r="E20" s="4">
        <v>968</v>
      </c>
      <c r="F20" s="1">
        <v>0.49</v>
      </c>
      <c r="G20" s="1" t="s">
        <v>348</v>
      </c>
      <c r="H20">
        <v>44</v>
      </c>
      <c r="I20">
        <v>2.9</v>
      </c>
      <c r="J20" t="s">
        <v>352</v>
      </c>
    </row>
    <row r="21" spans="1:10" x14ac:dyDescent="0.25">
      <c r="A21" t="s">
        <v>44</v>
      </c>
      <c r="B21" s="4">
        <v>990</v>
      </c>
      <c r="C21" s="4">
        <v>1500</v>
      </c>
      <c r="D21" s="4" t="s">
        <v>350</v>
      </c>
      <c r="E21" s="4">
        <v>510</v>
      </c>
      <c r="F21" s="1">
        <v>0.34</v>
      </c>
      <c r="G21" s="1" t="s">
        <v>346</v>
      </c>
      <c r="H21">
        <v>39</v>
      </c>
      <c r="I21">
        <v>4.5999999999999996</v>
      </c>
      <c r="J21" t="s">
        <v>347</v>
      </c>
    </row>
    <row r="22" spans="1:10" x14ac:dyDescent="0.25">
      <c r="A22" t="s">
        <v>122</v>
      </c>
      <c r="B22" s="4">
        <v>389</v>
      </c>
      <c r="C22" s="4">
        <v>656</v>
      </c>
      <c r="D22" s="4" t="s">
        <v>350</v>
      </c>
      <c r="E22" s="4">
        <v>267</v>
      </c>
      <c r="F22" s="1">
        <v>0.41</v>
      </c>
      <c r="G22" s="1" t="s">
        <v>348</v>
      </c>
      <c r="H22">
        <v>36</v>
      </c>
      <c r="I22">
        <v>4.7</v>
      </c>
      <c r="J22" t="s">
        <v>347</v>
      </c>
    </row>
    <row r="23" spans="1:10" x14ac:dyDescent="0.25">
      <c r="A23" t="s">
        <v>114</v>
      </c>
      <c r="B23" s="4">
        <v>1980</v>
      </c>
      <c r="C23" s="4">
        <v>2699</v>
      </c>
      <c r="D23" s="4" t="s">
        <v>349</v>
      </c>
      <c r="E23" s="4">
        <v>719</v>
      </c>
      <c r="F23" s="1">
        <v>0.27</v>
      </c>
      <c r="G23" s="1" t="s">
        <v>346</v>
      </c>
      <c r="H23">
        <v>32</v>
      </c>
      <c r="I23">
        <v>2.8</v>
      </c>
      <c r="J23" t="s">
        <v>352</v>
      </c>
    </row>
    <row r="24" spans="1:10" x14ac:dyDescent="0.25">
      <c r="A24" t="s">
        <v>14</v>
      </c>
      <c r="B24" s="4">
        <v>2199</v>
      </c>
      <c r="C24" s="4">
        <v>2923</v>
      </c>
      <c r="D24" s="4" t="s">
        <v>345</v>
      </c>
      <c r="E24" s="4">
        <v>724</v>
      </c>
      <c r="F24" s="1">
        <v>0.25</v>
      </c>
      <c r="G24" s="1" t="s">
        <v>346</v>
      </c>
      <c r="H24">
        <v>24</v>
      </c>
      <c r="I24">
        <v>4.5999999999999996</v>
      </c>
      <c r="J24" t="s">
        <v>347</v>
      </c>
    </row>
    <row r="25" spans="1:10" x14ac:dyDescent="0.25">
      <c r="A25" t="s">
        <v>215</v>
      </c>
      <c r="B25" s="4">
        <v>382</v>
      </c>
      <c r="C25" s="4">
        <v>700</v>
      </c>
      <c r="D25" s="4" t="s">
        <v>350</v>
      </c>
      <c r="E25" s="4">
        <v>318</v>
      </c>
      <c r="F25" s="1">
        <v>0.45</v>
      </c>
      <c r="G25" s="1" t="s">
        <v>348</v>
      </c>
      <c r="H25">
        <v>17</v>
      </c>
      <c r="I25">
        <v>4.3</v>
      </c>
      <c r="J25" t="s">
        <v>354</v>
      </c>
    </row>
    <row r="26" spans="1:10" x14ac:dyDescent="0.25">
      <c r="A26" t="s">
        <v>202</v>
      </c>
      <c r="B26" s="4">
        <v>1220</v>
      </c>
      <c r="C26" s="4">
        <v>1555</v>
      </c>
      <c r="D26" s="4" t="s">
        <v>349</v>
      </c>
      <c r="E26" s="4">
        <v>335</v>
      </c>
      <c r="F26" s="1">
        <v>0.22</v>
      </c>
      <c r="G26" s="1" t="s">
        <v>346</v>
      </c>
      <c r="H26">
        <v>16</v>
      </c>
      <c r="I26">
        <v>2.6</v>
      </c>
      <c r="J26" t="s">
        <v>352</v>
      </c>
    </row>
    <row r="28" spans="1:10" ht="18.75" x14ac:dyDescent="0.3">
      <c r="A28" s="5" t="s">
        <v>357</v>
      </c>
    </row>
    <row r="29" spans="1:10" x14ac:dyDescent="0.25">
      <c r="A29" s="2" t="s">
        <v>0</v>
      </c>
      <c r="B29" s="3" t="s">
        <v>1</v>
      </c>
      <c r="C29" s="3" t="s">
        <v>326</v>
      </c>
      <c r="D29" s="3" t="s">
        <v>329</v>
      </c>
      <c r="E29" s="3" t="s">
        <v>327</v>
      </c>
      <c r="F29" s="2" t="s">
        <v>3</v>
      </c>
      <c r="G29" s="2" t="s">
        <v>328</v>
      </c>
      <c r="H29" s="2" t="s">
        <v>4</v>
      </c>
      <c r="I29" s="2" t="s">
        <v>323</v>
      </c>
      <c r="J29" s="2" t="s">
        <v>344</v>
      </c>
    </row>
    <row r="30" spans="1:10" x14ac:dyDescent="0.25">
      <c r="A30" t="s">
        <v>295</v>
      </c>
      <c r="B30" s="4">
        <v>3640</v>
      </c>
      <c r="C30" s="4">
        <v>4588</v>
      </c>
      <c r="D30" s="4" t="s">
        <v>345</v>
      </c>
      <c r="E30" s="4">
        <v>948</v>
      </c>
      <c r="F30" s="1">
        <v>0.21</v>
      </c>
      <c r="G30" s="1" t="s">
        <v>346</v>
      </c>
      <c r="H30">
        <v>1</v>
      </c>
      <c r="I30">
        <v>5</v>
      </c>
      <c r="J30" t="s">
        <v>347</v>
      </c>
    </row>
    <row r="31" spans="1:10" x14ac:dyDescent="0.25">
      <c r="A31" t="s">
        <v>63</v>
      </c>
      <c r="B31" s="4">
        <v>2025</v>
      </c>
      <c r="C31" s="4">
        <v>3971</v>
      </c>
      <c r="D31" s="4" t="s">
        <v>345</v>
      </c>
      <c r="E31" s="4">
        <v>1946</v>
      </c>
      <c r="F31" s="1">
        <v>0.49</v>
      </c>
      <c r="G31" s="1" t="s">
        <v>348</v>
      </c>
      <c r="H31">
        <v>3</v>
      </c>
      <c r="I31">
        <v>5</v>
      </c>
      <c r="J31" t="s">
        <v>347</v>
      </c>
    </row>
    <row r="32" spans="1:10" x14ac:dyDescent="0.25">
      <c r="A32" t="s">
        <v>22</v>
      </c>
      <c r="B32" s="4">
        <v>1740</v>
      </c>
      <c r="C32" s="4">
        <v>2356</v>
      </c>
      <c r="D32" s="4" t="s">
        <v>349</v>
      </c>
      <c r="E32" s="4">
        <v>616</v>
      </c>
      <c r="F32" s="1">
        <v>0.26</v>
      </c>
      <c r="G32" s="1" t="s">
        <v>346</v>
      </c>
      <c r="H32">
        <v>5</v>
      </c>
      <c r="I32">
        <v>4.8</v>
      </c>
      <c r="J32" t="s">
        <v>347</v>
      </c>
    </row>
    <row r="33" spans="1:10" x14ac:dyDescent="0.25">
      <c r="A33" t="s">
        <v>117</v>
      </c>
      <c r="B33" s="4">
        <v>1620</v>
      </c>
      <c r="C33" s="4">
        <v>2690</v>
      </c>
      <c r="D33" s="4" t="s">
        <v>349</v>
      </c>
      <c r="E33" s="4">
        <v>1070</v>
      </c>
      <c r="F33" s="1">
        <v>0.4</v>
      </c>
      <c r="G33" s="1" t="s">
        <v>346</v>
      </c>
      <c r="H33">
        <v>1</v>
      </c>
      <c r="I33">
        <v>5</v>
      </c>
      <c r="J33" t="s">
        <v>347</v>
      </c>
    </row>
    <row r="34" spans="1:10" x14ac:dyDescent="0.25">
      <c r="A34" t="s">
        <v>35</v>
      </c>
      <c r="B34" s="4">
        <v>1274</v>
      </c>
      <c r="C34" s="4">
        <v>2800</v>
      </c>
      <c r="D34" s="4" t="s">
        <v>349</v>
      </c>
      <c r="E34" s="4">
        <v>1526</v>
      </c>
      <c r="F34" s="1">
        <v>0.55000000000000004</v>
      </c>
      <c r="G34" s="1" t="s">
        <v>348</v>
      </c>
      <c r="H34">
        <v>5</v>
      </c>
      <c r="I34">
        <v>4.8</v>
      </c>
      <c r="J34" t="s">
        <v>347</v>
      </c>
    </row>
    <row r="35" spans="1:10" x14ac:dyDescent="0.25">
      <c r="A35" t="s">
        <v>245</v>
      </c>
      <c r="B35" s="4">
        <v>979</v>
      </c>
      <c r="C35" s="4">
        <v>1920</v>
      </c>
      <c r="D35" s="4" t="s">
        <v>350</v>
      </c>
      <c r="E35" s="4">
        <v>941</v>
      </c>
      <c r="F35" s="1">
        <v>0.49</v>
      </c>
      <c r="G35" s="1" t="s">
        <v>348</v>
      </c>
      <c r="H35">
        <v>1</v>
      </c>
      <c r="I35">
        <v>5</v>
      </c>
      <c r="J35" t="s">
        <v>347</v>
      </c>
    </row>
    <row r="36" spans="1:10" x14ac:dyDescent="0.25">
      <c r="A36" t="s">
        <v>47</v>
      </c>
      <c r="B36" s="4">
        <v>552</v>
      </c>
      <c r="C36" s="4">
        <v>1035</v>
      </c>
      <c r="D36" s="4" t="s">
        <v>350</v>
      </c>
      <c r="E36" s="4">
        <v>483</v>
      </c>
      <c r="F36" s="1">
        <v>0.47</v>
      </c>
      <c r="G36" s="1" t="s">
        <v>348</v>
      </c>
      <c r="H36">
        <v>12</v>
      </c>
      <c r="I36">
        <v>4.8</v>
      </c>
      <c r="J36" t="s">
        <v>347</v>
      </c>
    </row>
    <row r="37" spans="1:10" x14ac:dyDescent="0.25">
      <c r="A37" t="s">
        <v>56</v>
      </c>
      <c r="B37" s="4">
        <v>332</v>
      </c>
      <c r="C37" s="4">
        <v>684</v>
      </c>
      <c r="D37" s="4" t="s">
        <v>350</v>
      </c>
      <c r="E37" s="4">
        <v>352</v>
      </c>
      <c r="F37" s="1">
        <v>0.51</v>
      </c>
      <c r="G37" s="1" t="s">
        <v>348</v>
      </c>
      <c r="H37">
        <v>2</v>
      </c>
      <c r="I37">
        <v>5</v>
      </c>
      <c r="J37" t="s">
        <v>347</v>
      </c>
    </row>
    <row r="38" spans="1:10" x14ac:dyDescent="0.25">
      <c r="A38" t="s">
        <v>60</v>
      </c>
      <c r="B38" s="4">
        <v>195</v>
      </c>
      <c r="C38" s="4">
        <v>360</v>
      </c>
      <c r="D38" s="4" t="s">
        <v>350</v>
      </c>
      <c r="E38" s="4">
        <v>165</v>
      </c>
      <c r="F38" s="1">
        <v>0.46</v>
      </c>
      <c r="G38" s="1" t="s">
        <v>348</v>
      </c>
      <c r="H38">
        <v>2</v>
      </c>
      <c r="I38">
        <v>5</v>
      </c>
      <c r="J38" t="s">
        <v>347</v>
      </c>
    </row>
    <row r="39" spans="1:10" x14ac:dyDescent="0.25">
      <c r="A39" t="s">
        <v>120</v>
      </c>
      <c r="B39" s="4">
        <v>171</v>
      </c>
      <c r="C39" s="4">
        <v>360</v>
      </c>
      <c r="D39" s="4" t="s">
        <v>350</v>
      </c>
      <c r="E39" s="4">
        <v>189</v>
      </c>
      <c r="F39" s="1">
        <v>0.53</v>
      </c>
      <c r="G39" s="1" t="s">
        <v>348</v>
      </c>
      <c r="H39">
        <v>2</v>
      </c>
      <c r="I39">
        <v>5</v>
      </c>
      <c r="J39" t="s">
        <v>347</v>
      </c>
    </row>
  </sheetData>
  <autoFilter ref="A16:H16" xr:uid="{00000000-0001-0000-0400-000000000000}">
    <sortState xmlns:xlrd2="http://schemas.microsoft.com/office/spreadsheetml/2017/richdata2" ref="A17:H26">
      <sortCondition descending="1" ref="H16"/>
    </sortState>
  </autoFilter>
  <conditionalFormatting sqref="A2:A13 A15">
    <cfRule type="top10" dxfId="23" priority="7" rank="5"/>
  </conditionalFormatting>
  <conditionalFormatting sqref="A2:A13 A15">
    <cfRule type="top10" dxfId="22" priority="6" bottom="1" rank="5"/>
  </conditionalFormatting>
  <conditionalFormatting sqref="A2:A13 F2:F13 A15">
    <cfRule type="top10" dxfId="21" priority="5" rank="10"/>
  </conditionalFormatting>
  <conditionalFormatting sqref="A16:A26 H16:H26 A28">
    <cfRule type="top10" dxfId="20" priority="4" rank="10"/>
  </conditionalFormatting>
  <conditionalFormatting sqref="A29:A39">
    <cfRule type="top10" dxfId="19" priority="3" rank="10"/>
  </conditionalFormatting>
  <conditionalFormatting sqref="A29:A39 J29:J39">
    <cfRule type="top10" dxfId="18" priority="2" rank="10"/>
  </conditionalFormatting>
  <conditionalFormatting sqref="A29:A39 I29:I39">
    <cfRule type="top10" dxfId="17"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FAF1-D5F4-4BC6-B39E-B1B9E0747BE4}">
  <dimension ref="A1"/>
  <sheetViews>
    <sheetView zoomScale="55" zoomScaleNormal="55" workbookViewId="0">
      <selection activeCell="A17" sqref="A17"/>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9EC7-C3C3-48C9-89AE-3CF8CE46D705}">
  <sheetPr>
    <tabColor theme="9" tint="-0.499984740745262"/>
  </sheetPr>
  <dimension ref="A1:B29"/>
  <sheetViews>
    <sheetView tabSelected="1" zoomScale="70" zoomScaleNormal="70" workbookViewId="0">
      <selection activeCell="V17" sqref="V17"/>
    </sheetView>
  </sheetViews>
  <sheetFormatPr defaultRowHeight="15" x14ac:dyDescent="0.25"/>
  <cols>
    <col min="1" max="1" width="17.85546875" bestFit="1" customWidth="1"/>
    <col min="2" max="2" width="21.140625" bestFit="1" customWidth="1"/>
  </cols>
  <sheetData>
    <row r="1" spans="1:2" x14ac:dyDescent="0.25">
      <c r="A1" s="13" t="s">
        <v>359</v>
      </c>
      <c r="B1" s="13" t="s">
        <v>361</v>
      </c>
    </row>
    <row r="2" spans="1:2" x14ac:dyDescent="0.25">
      <c r="A2" s="12" t="s">
        <v>354</v>
      </c>
      <c r="B2" s="11">
        <v>22</v>
      </c>
    </row>
    <row r="3" spans="1:2" x14ac:dyDescent="0.25">
      <c r="A3" s="12" t="s">
        <v>347</v>
      </c>
      <c r="B3" s="11">
        <v>23</v>
      </c>
    </row>
    <row r="4" spans="1:2" x14ac:dyDescent="0.25">
      <c r="A4" s="12" t="s">
        <v>352</v>
      </c>
      <c r="B4" s="11">
        <v>67</v>
      </c>
    </row>
    <row r="5" spans="1:2" x14ac:dyDescent="0.25">
      <c r="A5" s="14" t="s">
        <v>360</v>
      </c>
      <c r="B5" s="15">
        <v>112</v>
      </c>
    </row>
    <row r="7" spans="1:2" x14ac:dyDescent="0.25">
      <c r="A7" s="13" t="s">
        <v>359</v>
      </c>
      <c r="B7" s="13" t="s">
        <v>361</v>
      </c>
    </row>
    <row r="8" spans="1:2" x14ac:dyDescent="0.25">
      <c r="A8" s="12" t="s">
        <v>348</v>
      </c>
      <c r="B8" s="11">
        <v>62</v>
      </c>
    </row>
    <row r="9" spans="1:2" x14ac:dyDescent="0.25">
      <c r="A9" s="12" t="s">
        <v>362</v>
      </c>
      <c r="B9" s="11">
        <v>18</v>
      </c>
    </row>
    <row r="10" spans="1:2" x14ac:dyDescent="0.25">
      <c r="A10" s="12" t="s">
        <v>346</v>
      </c>
      <c r="B10" s="11">
        <v>32</v>
      </c>
    </row>
    <row r="11" spans="1:2" x14ac:dyDescent="0.25">
      <c r="A11" s="14" t="s">
        <v>360</v>
      </c>
      <c r="B11" s="15">
        <v>112</v>
      </c>
    </row>
    <row r="13" spans="1:2" x14ac:dyDescent="0.25">
      <c r="A13" s="13" t="s">
        <v>359</v>
      </c>
      <c r="B13" s="13" t="s">
        <v>361</v>
      </c>
    </row>
    <row r="14" spans="1:2" x14ac:dyDescent="0.25">
      <c r="A14" s="12" t="s">
        <v>345</v>
      </c>
      <c r="B14" s="11">
        <v>17</v>
      </c>
    </row>
    <row r="15" spans="1:2" x14ac:dyDescent="0.25">
      <c r="A15" s="12" t="s">
        <v>350</v>
      </c>
      <c r="B15" s="11">
        <v>57</v>
      </c>
    </row>
    <row r="16" spans="1:2" x14ac:dyDescent="0.25">
      <c r="A16" s="12" t="s">
        <v>349</v>
      </c>
      <c r="B16" s="11">
        <v>38</v>
      </c>
    </row>
    <row r="17" spans="1:2" x14ac:dyDescent="0.25">
      <c r="A17" s="14" t="s">
        <v>360</v>
      </c>
      <c r="B17" s="15">
        <v>112</v>
      </c>
    </row>
    <row r="19" spans="1:2" x14ac:dyDescent="0.25">
      <c r="A19" s="13" t="s">
        <v>359</v>
      </c>
      <c r="B19" s="13" t="s">
        <v>358</v>
      </c>
    </row>
    <row r="20" spans="1:2" x14ac:dyDescent="0.25">
      <c r="A20" s="12" t="s">
        <v>345</v>
      </c>
      <c r="B20" s="11">
        <v>46.5</v>
      </c>
    </row>
    <row r="21" spans="1:2" x14ac:dyDescent="0.25">
      <c r="A21" s="12" t="s">
        <v>350</v>
      </c>
      <c r="B21" s="11">
        <v>107.29999999999998</v>
      </c>
    </row>
    <row r="22" spans="1:2" x14ac:dyDescent="0.25">
      <c r="A22" s="12" t="s">
        <v>349</v>
      </c>
      <c r="B22" s="11">
        <v>67.899999999999991</v>
      </c>
    </row>
    <row r="23" spans="1:2" x14ac:dyDescent="0.25">
      <c r="A23" s="14" t="s">
        <v>360</v>
      </c>
      <c r="B23" s="15">
        <v>221.7</v>
      </c>
    </row>
    <row r="25" spans="1:2" x14ac:dyDescent="0.25">
      <c r="A25" s="13" t="s">
        <v>359</v>
      </c>
      <c r="B25" s="13" t="s">
        <v>363</v>
      </c>
    </row>
    <row r="26" spans="1:2" x14ac:dyDescent="0.25">
      <c r="A26" s="12" t="s">
        <v>348</v>
      </c>
      <c r="B26" s="11">
        <v>325</v>
      </c>
    </row>
    <row r="27" spans="1:2" x14ac:dyDescent="0.25">
      <c r="A27" s="12" t="s">
        <v>362</v>
      </c>
      <c r="B27" s="11">
        <v>38</v>
      </c>
    </row>
    <row r="28" spans="1:2" x14ac:dyDescent="0.25">
      <c r="A28" s="12" t="s">
        <v>346</v>
      </c>
      <c r="B28" s="11">
        <v>315</v>
      </c>
    </row>
    <row r="29" spans="1:2" x14ac:dyDescent="0.25">
      <c r="A29" s="14" t="s">
        <v>360</v>
      </c>
      <c r="B29" s="15">
        <v>678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9BFF-185C-4586-A356-D8F290DE5C99}">
  <dimension ref="A1:AD107"/>
  <sheetViews>
    <sheetView topLeftCell="A2" zoomScale="50" zoomScaleNormal="50" workbookViewId="0">
      <selection activeCell="T46" sqref="T46"/>
    </sheetView>
  </sheetViews>
  <sheetFormatPr defaultRowHeight="15" x14ac:dyDescent="0.25"/>
  <cols>
    <col min="5" max="5" width="9.140625" customWidth="1"/>
  </cols>
  <sheetData>
    <row r="1" spans="1:30"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row>
    <row r="3" spans="1:30"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row>
    <row r="4" spans="1:30"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spans="1:30"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row>
    <row r="6" spans="1:30"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row>
    <row r="7" spans="1:30"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row>
    <row r="8" spans="1:30"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row>
    <row r="9" spans="1:30"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row>
    <row r="10" spans="1:30"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0"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30"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0"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0"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0"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0"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30"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30"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30"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spans="1:30"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spans="1:30"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spans="1:30"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spans="1:30"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spans="1:30"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spans="1:30"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spans="1:30"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spans="1:30"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spans="1:30"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spans="1:30"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spans="1:30"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spans="1:30"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spans="1:30"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spans="1:30"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spans="1:30"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spans="1:30"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spans="1:30"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spans="1:30"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0"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0"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0"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0"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0"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0"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0"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0"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0"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0"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0"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spans="1:30"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spans="1:30"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spans="1:30"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spans="1:30"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0"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spans="1:30"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spans="1:30"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spans="1:30"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spans="1:30"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spans="1:30"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spans="1:30"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spans="1:30"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spans="1:30"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spans="1:30"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spans="1:30"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spans="1:30"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spans="1:30"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spans="1:30"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spans="1:30"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spans="1:30"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spans="1:30"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spans="1:30"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spans="1:30"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spans="1:30"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spans="1:30"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spans="1:30"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spans="1:30"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spans="1:30"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spans="1:30"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spans="1:30"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spans="1:30"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spans="1:30"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spans="1:30"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spans="1:30"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spans="1:30"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spans="1:30"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spans="1:30"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spans="1:30"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spans="1:30"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spans="1:30"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spans="1:30"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spans="1:30"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spans="1:30"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spans="1:30"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spans="1:30"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spans="1:30"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spans="1:30"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spans="1:30"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spans="1:30"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Orginal_data</vt:lpstr>
      <vt:lpstr>Cleaned_data </vt:lpstr>
      <vt:lpstr>Analysis</vt:lpstr>
      <vt:lpstr>Trend Analysis</vt:lpstr>
      <vt:lpstr>Product Perfomance Analysis </vt:lpstr>
      <vt:lpstr>Relationship Trend Analysis </vt:lpstr>
      <vt:lpstr>Sheet4</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Omolo</dc:creator>
  <cp:lastModifiedBy>Omollo</cp:lastModifiedBy>
  <dcterms:created xsi:type="dcterms:W3CDTF">2026-09-08T20:05:34Z</dcterms:created>
  <dcterms:modified xsi:type="dcterms:W3CDTF">2026-09-19T23:31:08Z</dcterms:modified>
</cp:coreProperties>
</file>